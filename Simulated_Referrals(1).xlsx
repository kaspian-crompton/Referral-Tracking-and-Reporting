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charts/style1.xml" ContentType="application/vnd.ms-office.chartstyle+xml"/>
  <Override PartName="/xl/charts/style2.xml" ContentType="application/vnd.ms-office.chartstyle+xml"/>
  <Override PartName="/xl/charts/style3.xml" ContentType="application/vnd.ms-office.chartstyle+xml"/>
  <Override PartName="/xl/charts/colors1.xml" ContentType="application/vnd.ms-office.chartcolorstyle+xml"/>
  <Override PartName="/xl/charts/colors3.xml" ContentType="application/vnd.ms-office.chartcolorstyle+xml"/>
  <Override PartName="/xl/charts/colors2.xml" ContentType="application/vnd.ms-office.chartcolorstyl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xmlns:r="http://schemas.openxmlformats.org/officeDocument/2006/relationships" name="Summary" sheetId="1" state="visible" r:id="rId1"/>
    <sheet xmlns:r="http://schemas.openxmlformats.org/officeDocument/2006/relationships" name="Referrals" sheetId="2" state="visible" r:id="rId2"/>
    <sheet xmlns:r="http://schemas.openxmlformats.org/officeDocument/2006/relationships" name="Checks" sheetId="3" state="visible" r:id="rId3"/>
    <sheet xmlns:r="http://schemas.openxmlformats.org/officeDocument/2006/relationships" name="Settings" sheetId="4" state="visible" r:id="rId4"/>
    <sheet xmlns:r="http://schemas.openxmlformats.org/officeDocument/2006/relationships" name="Enrolment Checklist" sheetId="5" state="visible" r:id="rId5"/>
    <sheet xmlns:r="http://schemas.openxmlformats.org/officeDocument/2006/relationships" name="Notes" sheetId="6" state="visible" r:id="rId6"/>
  </sheets>
  <definedNames>
    <definedName name="_xlnm.Print_Area" localSheetId="0">'Summary'!$A$1:$E$55</definedName>
  </definedNames>
  <calcPr calcId="191029" fullCalcOnLoad="1"/>
</workbook>
</file>

<file path=xl/styles.xml><?xml version="1.0" encoding="utf-8"?>
<styleSheet xmlns="http://schemas.openxmlformats.org/spreadsheetml/2006/main">
  <numFmts count="5">
    <numFmt numFmtId="164" formatCode="dd/mm/yyyy"/>
    <numFmt numFmtId="165" formatCode="0.0"/>
    <numFmt numFmtId="166" formatCode="&quot;Target &quot;0%"/>
    <numFmt numFmtId="167" formatCode="mmm yyyy"/>
    <numFmt numFmtId="168" formatCode="0.0&quot; days&quot;"/>
  </numFmts>
  <fonts count="24">
    <font>
      <name val="Calibri"/>
      <family val="2"/>
      <color theme="1"/>
      <sz val="11"/>
      <scheme val="minor"/>
    </font>
    <font>
      <name val="Arial"/>
      <b val="1"/>
      <sz val="10"/>
    </font>
    <font>
      <name val="Arial"/>
      <sz val="10"/>
    </font>
    <font>
      <name val="Calibri"/>
      <family val="2"/>
      <color theme="1"/>
      <sz val="11"/>
      <scheme val="minor"/>
    </font>
    <font>
      <name val="Arial Unicode MS"/>
      <color theme="1"/>
      <sz val="10"/>
    </font>
    <font>
      <name val="Arial"/>
      <family val="2"/>
      <sz val="10"/>
    </font>
    <font>
      <name val="Calibri"/>
      <family val="2"/>
      <b val="1"/>
      <color theme="1"/>
      <sz val="11"/>
      <scheme val="minor"/>
    </font>
    <font>
      <name val="Calibri"/>
      <family val="2"/>
      <b val="1"/>
      <color theme="1"/>
      <sz val="14"/>
      <scheme val="minor"/>
    </font>
    <font>
      <name val="Calibri"/>
      <b val="1"/>
      <color rgb="001F3864"/>
      <sz val="16"/>
    </font>
    <font>
      <name val="Calibri"/>
      <i val="1"/>
      <color rgb="00595959"/>
      <sz val="10"/>
    </font>
    <font>
      <name val="Calibri"/>
      <b val="1"/>
      <color rgb="001F3864"/>
      <sz val="12"/>
    </font>
    <font>
      <name val="Calibri"/>
      <b val="1"/>
      <color rgb="00595959"/>
      <sz val="10"/>
    </font>
    <font>
      <name val="Calibri"/>
      <b val="1"/>
      <color rgb="001F3864"/>
      <sz val="20"/>
    </font>
    <font>
      <name val="Calibri"/>
      <color rgb="00595959"/>
      <sz val="9"/>
    </font>
    <font>
      <name val="Calibri"/>
      <b val="1"/>
      <color rgb="00595959"/>
      <sz val="9"/>
    </font>
    <font>
      <name val="Calibri"/>
      <b val="1"/>
      <color rgb="00FFFFFF"/>
      <sz val="11"/>
    </font>
    <font>
      <name val="Calibri"/>
      <color rgb="00000000"/>
      <sz val="11"/>
    </font>
    <font>
      <name val="Calibri"/>
      <i val="1"/>
      <color rgb="00595959"/>
      <sz val="9"/>
    </font>
    <font>
      <name val="Calibri"/>
      <color rgb="000000FF"/>
      <sz val="11"/>
    </font>
    <font>
      <name val="Calibri"/>
      <color rgb="00595959"/>
      <sz val="14"/>
    </font>
    <font>
      <name val="Calibri"/>
      <b val="1"/>
      <color rgb="009C5700"/>
      <sz val="12"/>
    </font>
    <font>
      <name val="Calibri"/>
      <color rgb="009C5700"/>
      <sz val="11"/>
    </font>
    <font>
      <name val="Calibri"/>
      <b val="1"/>
      <color rgb="00000000"/>
      <sz val="11"/>
    </font>
    <font>
      <name val="Calibri"/>
      <b val="1"/>
      <color rgb="001F3864"/>
      <sz val="11"/>
    </font>
  </fonts>
  <fills count="6">
    <fill>
      <patternFill/>
    </fill>
    <fill>
      <patternFill patternType="gray125"/>
    </fill>
    <fill>
      <patternFill patternType="solid">
        <fgColor rgb="00F2F2F2"/>
        <bgColor rgb="00F2F2F2"/>
      </patternFill>
    </fill>
    <fill>
      <patternFill patternType="solid">
        <fgColor rgb="001F3864"/>
        <bgColor rgb="001F3864"/>
      </patternFill>
    </fill>
    <fill>
      <patternFill patternType="solid">
        <fgColor rgb="00FFF2CC"/>
        <bgColor rgb="00FFF2CC"/>
      </patternFill>
    </fill>
    <fill>
      <patternFill patternType="solid">
        <fgColor rgb="00FFEB9C"/>
        <bgColor rgb="00FFEB9C"/>
      </patternFill>
    </fill>
  </fills>
  <borders count="6">
    <border>
      <left/>
      <right/>
      <top/>
      <bottom/>
      <diagonal/>
    </border>
    <border>
      <bottom style="medium">
        <color rgb="001F3864"/>
      </bottom>
    </border>
    <border>
      <left style="thick">
        <color rgb="00FFFFFF"/>
      </left>
      <right style="thick">
        <color rgb="00FFFFFF"/>
      </right>
    </border>
    <border>
      <bottom style="thin">
        <color rgb="00D9D9D9"/>
      </bottom>
    </border>
    <border/>
    <border>
      <left style="thin">
        <color rgb="00D9D9D9"/>
      </left>
      <right style="thin">
        <color rgb="00D9D9D9"/>
      </right>
      <top style="thin">
        <color rgb="00D9D9D9"/>
      </top>
      <bottom style="thin">
        <color rgb="00D9D9D9"/>
      </bottom>
    </border>
  </borders>
  <cellStyleXfs count="2">
    <xf numFmtId="0" fontId="3" fillId="0" borderId="0"/>
    <xf numFmtId="9" fontId="3" fillId="0" borderId="0"/>
  </cellStyleXfs>
  <cellXfs count="61">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14" fontId="0" fillId="0" borderId="0" pivotButton="0" quotePrefix="0" xfId="0"/>
    <xf numFmtId="9" fontId="0" fillId="0" borderId="0" pivotButton="0" quotePrefix="0" xfId="1"/>
    <xf numFmtId="9" fontId="4" fillId="0" borderId="0" applyAlignment="1" pivotButton="0" quotePrefix="0" xfId="1">
      <alignment vertical="center" wrapText="1"/>
    </xf>
    <xf numFmtId="2" fontId="0" fillId="0" borderId="0" pivotButton="0" quotePrefix="0" xfId="0"/>
    <xf numFmtId="165" fontId="0" fillId="0" borderId="0" pivotButton="0" quotePrefix="0" xfId="0"/>
    <xf numFmtId="9"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2" fillId="0" borderId="0" applyAlignment="1" pivotButton="0" quotePrefix="0" xfId="0">
      <alignment vertical="top"/>
    </xf>
    <xf numFmtId="0" fontId="0" fillId="0" borderId="0" applyAlignment="1" pivotButton="0" quotePrefix="0" xfId="0">
      <alignment horizontal="center"/>
    </xf>
    <xf numFmtId="0" fontId="0" fillId="0" borderId="0" applyAlignment="1" pivotButton="0" quotePrefix="0" xfId="0">
      <alignment horizontal="center" wrapText="1"/>
    </xf>
    <xf numFmtId="0" fontId="8" fillId="0" borderId="0" pivotButton="0" quotePrefix="0" xfId="0"/>
    <xf numFmtId="0" fontId="9" fillId="0" borderId="0" pivotButton="0" quotePrefix="0" xfId="0"/>
    <xf numFmtId="0" fontId="10" fillId="0" borderId="1" pivotButton="0" quotePrefix="0" xfId="0"/>
    <xf numFmtId="0" fontId="0" fillId="0" borderId="1" pivotButton="0" quotePrefix="0" xfId="0"/>
    <xf numFmtId="0" fontId="11" fillId="2" borderId="2" applyAlignment="1" pivotButton="0" quotePrefix="0" xfId="0">
      <alignment horizontal="center" vertical="bottom" wrapText="1"/>
    </xf>
    <xf numFmtId="1" fontId="12" fillId="2" borderId="2" applyAlignment="1" pivotButton="0" quotePrefix="0" xfId="0">
      <alignment horizontal="center" vertical="center"/>
    </xf>
    <xf numFmtId="9" fontId="12" fillId="2" borderId="2" applyAlignment="1" pivotButton="0" quotePrefix="0" xfId="1">
      <alignment horizontal="center" vertical="center"/>
    </xf>
    <xf numFmtId="0" fontId="14" fillId="2" borderId="2" applyAlignment="1" pivotButton="0" quotePrefix="0" xfId="0">
      <alignment horizontal="center" vertical="top"/>
    </xf>
    <xf numFmtId="166" fontId="13" fillId="2" borderId="2" applyAlignment="1" pivotButton="0" quotePrefix="0" xfId="0">
      <alignment horizontal="center" vertical="top"/>
    </xf>
    <xf numFmtId="0" fontId="13" fillId="2" borderId="2" applyAlignment="1" pivotButton="0" quotePrefix="0" xfId="0">
      <alignment horizontal="center" vertical="top"/>
    </xf>
    <xf numFmtId="0" fontId="15" fillId="3" borderId="0" applyAlignment="1" pivotButton="0" quotePrefix="0" xfId="0">
      <alignment horizontal="left" vertical="center" wrapText="1"/>
    </xf>
    <xf numFmtId="0" fontId="15" fillId="3" borderId="0" applyAlignment="1" pivotButton="0" quotePrefix="0" xfId="0">
      <alignment horizontal="right" vertical="center" wrapText="1"/>
    </xf>
    <xf numFmtId="167" fontId="16" fillId="0" borderId="3" applyAlignment="1" pivotButton="0" quotePrefix="0" xfId="0">
      <alignment horizontal="left" vertical="center"/>
    </xf>
    <xf numFmtId="1" fontId="16" fillId="0" borderId="3" applyAlignment="1" pivotButton="0" quotePrefix="0" xfId="0">
      <alignment horizontal="right" vertical="center"/>
    </xf>
    <xf numFmtId="0" fontId="16" fillId="0" borderId="3" applyAlignment="1" pivotButton="0" quotePrefix="0" xfId="0">
      <alignment horizontal="left" vertical="center"/>
    </xf>
    <xf numFmtId="168" fontId="16" fillId="0" borderId="3" applyAlignment="1" pivotButton="0" quotePrefix="0" xfId="0">
      <alignment horizontal="right" vertical="center"/>
    </xf>
    <xf numFmtId="0" fontId="9" fillId="0" borderId="4" applyAlignment="1" pivotButton="0" quotePrefix="0" xfId="0">
      <alignment vertical="top" wrapText="1"/>
    </xf>
    <xf numFmtId="0" fontId="16" fillId="0" borderId="4" pivotButton="0" quotePrefix="0" xfId="0"/>
    <xf numFmtId="0" fontId="16" fillId="0" borderId="1" pivotButton="0" quotePrefix="0" xfId="0"/>
    <xf numFmtId="0" fontId="16" fillId="0" borderId="4" applyAlignment="1" pivotButton="0" quotePrefix="0" xfId="0">
      <alignment vertical="top" wrapText="1" indent="1"/>
    </xf>
    <xf numFmtId="0" fontId="17" fillId="0" borderId="4" pivotButton="0" quotePrefix="0" xfId="0"/>
    <xf numFmtId="0" fontId="15" fillId="0" borderId="0" applyAlignment="1" pivotButton="0" quotePrefix="0" xfId="0">
      <alignment horizontal="left" vertical="center" wrapText="1"/>
    </xf>
    <xf numFmtId="0" fontId="15" fillId="0" borderId="0" applyAlignment="1" pivotButton="0" quotePrefix="0" xfId="0">
      <alignment horizontal="center" vertical="center" wrapText="1"/>
    </xf>
    <xf numFmtId="0" fontId="16" fillId="0" borderId="0" pivotButton="0" quotePrefix="0" xfId="0"/>
    <xf numFmtId="164" fontId="16" fillId="0" borderId="0" applyAlignment="1" pivotButton="0" quotePrefix="0" xfId="0">
      <alignment horizontal="center"/>
    </xf>
    <xf numFmtId="0" fontId="16" fillId="0" borderId="0" applyAlignment="1" pivotButton="0" quotePrefix="0" xfId="0">
      <alignment horizontal="center"/>
    </xf>
    <xf numFmtId="1" fontId="16" fillId="0" borderId="0" applyAlignment="1" pivotButton="0" quotePrefix="0" xfId="0">
      <alignment horizontal="center"/>
    </xf>
    <xf numFmtId="164" fontId="18" fillId="4" borderId="5" applyAlignment="1" pivotButton="0" quotePrefix="0" xfId="0">
      <alignment horizontal="right"/>
    </xf>
    <xf numFmtId="1" fontId="18" fillId="4" borderId="5" applyAlignment="1" pivotButton="0" quotePrefix="0" xfId="0">
      <alignment horizontal="right"/>
    </xf>
    <xf numFmtId="9" fontId="18" fillId="4" borderId="5" applyAlignment="1" pivotButton="0" quotePrefix="0" xfId="0">
      <alignment horizontal="right"/>
    </xf>
    <xf numFmtId="0" fontId="15" fillId="3" borderId="0" applyAlignment="1" pivotButton="0" quotePrefix="0" xfId="0">
      <alignment horizontal="center" vertical="center"/>
    </xf>
    <xf numFmtId="0" fontId="16" fillId="0" borderId="3" applyAlignment="1" pivotButton="0" quotePrefix="0" xfId="0">
      <alignment horizontal="center" vertical="center"/>
    </xf>
    <xf numFmtId="0" fontId="16" fillId="0" borderId="3" applyAlignment="1" pivotButton="0" quotePrefix="0" xfId="0">
      <alignment horizontal="left" vertical="center" wrapText="1"/>
    </xf>
    <xf numFmtId="0" fontId="19" fillId="0" borderId="3" applyAlignment="1" pivotButton="0" quotePrefix="0" xfId="0">
      <alignment horizontal="center" vertical="center"/>
    </xf>
    <xf numFmtId="0" fontId="20" fillId="5" borderId="4" applyAlignment="1" pivotButton="0" quotePrefix="0" xfId="0">
      <alignment vertical="center" indent="1"/>
    </xf>
    <xf numFmtId="0" fontId="21" fillId="5" borderId="4" applyAlignment="1" pivotButton="0" quotePrefix="0" xfId="0">
      <alignment vertical="top" wrapText="1" indent="1"/>
    </xf>
    <xf numFmtId="0" fontId="9" fillId="0" borderId="4" pivotButton="0" quotePrefix="0" xfId="0"/>
    <xf numFmtId="0" fontId="15" fillId="3" borderId="4" applyAlignment="1" pivotButton="0" quotePrefix="0" xfId="0">
      <alignment horizontal="left" vertical="center" wrapText="1"/>
    </xf>
    <xf numFmtId="0" fontId="22" fillId="0" borderId="3" applyAlignment="1" pivotButton="0" quotePrefix="0" xfId="0">
      <alignment vertical="top" wrapText="1"/>
    </xf>
    <xf numFmtId="0" fontId="16" fillId="0" borderId="3" applyAlignment="1" pivotButton="0" quotePrefix="0" xfId="0">
      <alignment vertical="top" wrapText="1"/>
    </xf>
    <xf numFmtId="0" fontId="23" fillId="0" borderId="3" applyAlignment="1" pivotButton="0" quotePrefix="0" xfId="0">
      <alignment vertical="top" wrapText="1"/>
    </xf>
  </cellXfs>
  <cellStyles count="2">
    <cellStyle name="Normal" xfId="0" builtinId="0"/>
    <cellStyle name="Percent" xfId="1" builtinId="5"/>
  </cellStyles>
  <dxfs count="2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name val="Arial"/>
        <strike val="0"/>
        <outline val="0"/>
        <shadow val="0"/>
        <condense val="0"/>
        <color auto="1"/>
        <extend val="0"/>
        <sz val="10"/>
        <vertAlign val="baseline"/>
      </font>
      <numFmt numFmtId="0" formatCode="General"/>
    </dxf>
    <dxf>
      <font>
        <name val="Arial"/>
        <strike val="0"/>
        <outline val="0"/>
        <shadow val="0"/>
        <condense val="0"/>
        <color auto="1"/>
        <extend val="0"/>
        <sz val="10"/>
        <vertAlign val="baseline"/>
      </font>
      <numFmt numFmtId="0" formatCode="General"/>
    </dxf>
    <dxf>
      <font>
        <name val="Arial"/>
        <strike val="0"/>
        <outline val="0"/>
        <shadow val="0"/>
        <condense val="0"/>
        <color auto="1"/>
        <extend val="0"/>
        <sz val="10"/>
        <vertAlign val="baseline"/>
      </font>
      <numFmt numFmtId="0" formatCode="General"/>
    </dxf>
    <dxf>
      <font>
        <name val="Arial"/>
        <strike val="0"/>
        <outline val="0"/>
        <shadow val="0"/>
        <condense val="0"/>
        <color auto="1"/>
        <extend val="0"/>
        <sz val="10"/>
        <vertAlign val="baseline"/>
      </font>
      <numFmt numFmtId="0" formatCode="General"/>
    </dxf>
    <dxf>
      <font>
        <name val="Arial"/>
        <strike val="0"/>
        <outline val="0"/>
        <shadow val="0"/>
        <condense val="0"/>
        <color auto="1"/>
        <extend val="0"/>
        <sz val="10"/>
        <vertAlign val="baseline"/>
      </font>
      <numFmt numFmtId="0" formatCode="General"/>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strike val="0"/>
        <outline val="0"/>
        <shadow val="0"/>
        <condense val="0"/>
        <color auto="1"/>
        <extend val="0"/>
        <sz val="10"/>
        <vertAlign val="baseline"/>
      </font>
      <numFmt numFmtId="164" formatCode="dd/mm/yyyy"/>
    </dxf>
    <dxf>
      <font>
        <name val="Arial"/>
        <strike val="0"/>
        <outline val="0"/>
        <shadow val="0"/>
        <condense val="0"/>
        <color auto="1"/>
        <extend val="0"/>
        <sz val="10"/>
        <vertAlign val="baseline"/>
      </font>
    </dxf>
    <dxf>
      <font>
        <name val="Arial"/>
        <strike val="0"/>
        <outline val="0"/>
        <shadow val="0"/>
        <condense val="0"/>
        <color auto="1"/>
        <extend val="0"/>
        <sz val="10"/>
        <vertAlign val="baseline"/>
      </font>
    </dxf>
    <dxf>
      <font>
        <name val="Arial"/>
        <b val="1"/>
        <strike val="0"/>
        <outline val="0"/>
        <shadow val="0"/>
        <condense val="0"/>
        <color auto="1"/>
        <extend val="0"/>
        <sz val="10"/>
        <vertAlign val="baseline"/>
      </font>
    </dxf>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Referrals peaked in 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Summary!$B$8</c:f>
              <c:strCache>
                <c:ptCount val="1"/>
                <c:pt idx="0">
                  <c:v>Referrals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Summary!$A$9:$A$11</c:f>
              <c:numCache>
                <c:formatCode>m/d/yyyy</c:formatCode>
                <c:ptCount val="3"/>
                <c:pt idx="0">
                  <c:v>46174</c:v>
                </c:pt>
                <c:pt idx="1">
                  <c:v>46204</c:v>
                </c:pt>
                <c:pt idx="2">
                  <c:v>46235</c:v>
                </c:pt>
              </c:numCache>
            </c:numRef>
          </c:cat>
          <c:val>
            <c:numRef>
              <c:f>Summary!$B$9:$B$11</c:f>
              <c:numCache>
                <c:formatCode>General</c:formatCode>
                <c:ptCount val="3"/>
                <c:pt idx="0">
                  <c:v>30</c:v>
                </c:pt>
                <c:pt idx="1">
                  <c:v>54</c:v>
                </c:pt>
                <c:pt idx="2">
                  <c:v>36</c:v>
                </c:pt>
              </c:numCache>
            </c:numRef>
          </c:val>
          <c:extLst>
            <c:ext xmlns:c16="http://schemas.microsoft.com/office/drawing/2014/chart" uri="{C3380CC4-5D6E-409C-BE32-E72D297353CC}">
              <c16:uniqueId val="{00000000-0E23-4CDF-8D78-9737C6A8FDD4}"/>
            </c:ext>
          </c:extLst>
        </c:ser>
        <c:dLbls>
          <c:dLblPos val="outEnd"/>
          <c:showLegendKey val="0"/>
          <c:showVal val="1"/>
          <c:showCatName val="0"/>
          <c:showSerName val="0"/>
          <c:showPercent val="0"/>
          <c:showBubbleSize val="0"/>
        </c:dLbls>
        <c:gapWidth val="219"/>
        <c:overlap val="-27"/>
        <c:axId val="702493808"/>
        <c:axId val="702494288"/>
      </c:barChart>
      <c:dateAx>
        <c:axId val="702493808"/>
        <c:scaling>
          <c:orientation val="minMax"/>
        </c:scaling>
        <c:delete val="0"/>
        <c:axPos val="b"/>
        <c:numFmt formatCode="mmm 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4288"/>
        <c:crosses val="autoZero"/>
        <c:auto val="1"/>
        <c:lblOffset val="100"/>
        <c:baseTimeUnit val="months"/>
      </c:dateAx>
      <c:valAx>
        <c:axId val="70249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Most referrals end in enrolment;</a:t>
            </a:r>
            <a:r>
              <a:rPr lang="en-NZ" baseline="0"/>
              <a:t> 8 are still new</a:t>
            </a:r>
          </a:p>
        </c:rich>
      </c:tx>
      <c:layout>
        <c:manualLayout>
          <c:xMode val="edge"/>
          <c:yMode val="edge"/>
          <c:x val="0.10110161361738719"/>
          <c:y val="5.3819285856216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Summary!$E$8</c:f>
              <c:strCache>
                <c:ptCount val="1"/>
                <c:pt idx="0">
                  <c:v>Referrals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Summary!$D$9:$D$15</c:f>
              <c:strCache>
                <c:ptCount val="7"/>
                <c:pt idx="0">
                  <c:v>New</c:v>
                </c:pt>
                <c:pt idx="1">
                  <c:v>Contacted</c:v>
                </c:pt>
                <c:pt idx="2">
                  <c:v>Awaiting info</c:v>
                </c:pt>
                <c:pt idx="3">
                  <c:v>Consent pending</c:v>
                </c:pt>
                <c:pt idx="4">
                  <c:v>Enrolled</c:v>
                </c:pt>
                <c:pt idx="5">
                  <c:v>Unable to contact</c:v>
                </c:pt>
                <c:pt idx="6">
                  <c:v>Declined</c:v>
                </c:pt>
              </c:strCache>
            </c:strRef>
          </c:cat>
          <c:val>
            <c:numRef>
              <c:f>Summary!$E$9:$E$15</c:f>
              <c:numCache>
                <c:formatCode>General</c:formatCode>
                <c:ptCount val="7"/>
                <c:pt idx="0">
                  <c:v>8</c:v>
                </c:pt>
                <c:pt idx="1">
                  <c:v>21</c:v>
                </c:pt>
                <c:pt idx="2">
                  <c:v>18</c:v>
                </c:pt>
                <c:pt idx="3">
                  <c:v>11</c:v>
                </c:pt>
                <c:pt idx="4">
                  <c:v>40</c:v>
                </c:pt>
                <c:pt idx="5">
                  <c:v>8</c:v>
                </c:pt>
                <c:pt idx="6">
                  <c:v>14</c:v>
                </c:pt>
              </c:numCache>
            </c:numRef>
          </c:val>
          <c:extLst>
            <c:ext xmlns:c16="http://schemas.microsoft.com/office/drawing/2014/chart" uri="{C3380CC4-5D6E-409C-BE32-E72D297353CC}">
              <c16:uniqueId val="{00000000-C3EB-409E-8F23-AB5F624DDACA}"/>
            </c:ext>
          </c:extLst>
        </c:ser>
        <c:dLbls>
          <c:dLblPos val="outEnd"/>
          <c:showLegendKey val="0"/>
          <c:showVal val="1"/>
          <c:showCatName val="0"/>
          <c:showSerName val="0"/>
          <c:showPercent val="0"/>
          <c:showBubbleSize val="0"/>
        </c:dLbls>
        <c:gapWidth val="182"/>
        <c:axId val="597109184"/>
        <c:axId val="597108224"/>
      </c:barChart>
      <c:catAx>
        <c:axId val="597109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8224"/>
        <c:crosses val="autoZero"/>
        <c:auto val="1"/>
        <c:lblAlgn val="ctr"/>
        <c:lblOffset val="100"/>
        <c:noMultiLvlLbl val="0"/>
      </c:catAx>
      <c:valAx>
        <c:axId val="59710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918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Time to first contact rises</a:t>
            </a:r>
            <a:r>
              <a:rPr lang="en-NZ" baseline="0"/>
              <a:t> as priority falls</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lotArea>
      <c:layout/>
      <c:barChart>
        <c:barDir val="col"/>
        <c:grouping val="clustered"/>
        <c:varyColors val="0"/>
        <c:ser>
          <c:idx val="0"/>
          <c:order val="0"/>
          <c:tx>
            <c:strRef>
              <c:f>Summary!$B$24</c:f>
              <c:strCache>
                <c:ptCount val="1"/>
                <c:pt idx="0">
                  <c:v>Avg days to first contact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Summary!$A$25:$A$27</c:f>
              <c:strCache>
                <c:ptCount val="3"/>
                <c:pt idx="0">
                  <c:v>Urgent</c:v>
                </c:pt>
                <c:pt idx="1">
                  <c:v>High</c:v>
                </c:pt>
                <c:pt idx="2">
                  <c:v>Routine</c:v>
                </c:pt>
              </c:strCache>
            </c:strRef>
          </c:cat>
          <c:val>
            <c:numRef>
              <c:f>Summary!$B$25:$B$27</c:f>
              <c:numCache>
                <c:formatCode>0.0</c:formatCode>
                <c:ptCount val="3"/>
                <c:pt idx="0" formatCode="General">
                  <c:v>1</c:v>
                </c:pt>
                <c:pt idx="1">
                  <c:v>3.6818181818181817</c:v>
                </c:pt>
                <c:pt idx="2" formatCode="0.00">
                  <c:v>6.6268656716417906</c:v>
                </c:pt>
              </c:numCache>
            </c:numRef>
          </c:val>
          <c:extLst>
            <c:ext xmlns:c16="http://schemas.microsoft.com/office/drawing/2014/chart" uri="{C3380CC4-5D6E-409C-BE32-E72D297353CC}">
              <c16:uniqueId val="{00000000-1339-42D2-9D7F-E70E196CEA71}"/>
            </c:ext>
          </c:extLst>
        </c:ser>
        <c:dLbls>
          <c:dLblPos val="outEnd"/>
          <c:showLegendKey val="0"/>
          <c:showVal val="1"/>
          <c:showCatName val="0"/>
          <c:showSerName val="0"/>
          <c:showPercent val="0"/>
          <c:showBubbleSize val="0"/>
        </c:dLbls>
        <c:gapWidth val="219"/>
        <c:overlap val="-27"/>
        <c:axId val="704267664"/>
        <c:axId val="704268144"/>
      </c:barChart>
      <c:catAx>
        <c:axId val="7042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68144"/>
        <c:crosses val="autoZero"/>
        <c:auto val="1"/>
        <c:lblAlgn val="ctr"/>
        <c:lblOffset val="100"/>
        <c:noMultiLvlLbl val="0"/>
      </c:catAx>
      <c:valAx>
        <c:axId val="7042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6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76200</xdr:rowOff>
    </xdr:from>
    <xdr:to>
      <xdr:col>2</xdr:col>
      <xdr:colOff>0</xdr:colOff>
      <xdr:row>21</xdr:row>
      <xdr:rowOff>0</xdr:rowOff>
    </xdr:to>
    <xdr:graphicFrame macro="">
      <xdr:nvGraphicFramePr>
        <xdr:cNvPr id="2" name="Chart 1">
          <a:extLst>
            <a:ext uri="{FF2B5EF4-FFF2-40B4-BE49-F238E27FC236}">
              <a16:creationId xmlns:a16="http://schemas.microsoft.com/office/drawing/2014/main" id="{F0924A47-2AE0-9D81-69E8-F9F6A2126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76200</xdr:rowOff>
    </xdr:from>
    <xdr:to>
      <xdr:col>5</xdr:col>
      <xdr:colOff>0</xdr:colOff>
      <xdr:row>31</xdr:row>
      <xdr:rowOff>0</xdr:rowOff>
    </xdr:to>
    <xdr:graphicFrame macro="">
      <xdr:nvGraphicFramePr>
        <xdr:cNvPr id="3" name="Chart 2">
          <a:extLst>
            <a:ext uri="{FF2B5EF4-FFF2-40B4-BE49-F238E27FC236}">
              <a16:creationId xmlns:a16="http://schemas.microsoft.com/office/drawing/2014/main" id="{2F973597-FF03-0401-9F47-A0DC45328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76200</xdr:rowOff>
    </xdr:from>
    <xdr:to>
      <xdr:col>2</xdr:col>
      <xdr:colOff>0</xdr:colOff>
      <xdr:row>39</xdr:row>
      <xdr:rowOff>0</xdr:rowOff>
    </xdr:to>
    <xdr:graphicFrame macro="">
      <xdr:nvGraphicFramePr>
        <xdr:cNvPr id="4" name="Chart 3">
          <a:extLst>
            <a:ext uri="{FF2B5EF4-FFF2-40B4-BE49-F238E27FC236}">
              <a16:creationId xmlns:a16="http://schemas.microsoft.com/office/drawing/2014/main" id="{1A30ACA1-DD0D-84EB-C6FB-FF700B0BD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blReferrals" displayName="tblReferrals" ref="A1:R121" headerRowCount="1" totalsRowShown="0" headerRowDxfId="22" dataDxfId="21">
  <autoFilter ref="A1:R121"/>
  <tableColumns count="18">
    <tableColumn id="1" name="ReferralID" dataDxfId="20"/>
    <tableColumn id="2" name="DateReceived" dataDxfId="19"/>
    <tableColumn id="3" name="ClientCode" dataDxfId="18"/>
    <tableColumn id="4" name="ReferrerType" dataDxfId="17"/>
    <tableColumn id="5" name="Ethnicity" dataDxfId="16"/>
    <tableColumn id="6" name="PriorityLevel" dataDxfId="15"/>
    <tableColumn id="7" name="InfoComplete" dataDxfId="14"/>
    <tableColumn id="8" name="DateFirstContact" dataDxfId="13"/>
    <tableColumn id="9" name="ContactMethod" dataDxfId="12"/>
    <tableColumn id="10" name="Status" dataDxfId="11"/>
    <tableColumn id="11" name="ConsentObtained" dataDxfId="10"/>
    <tableColumn id="12" name="AppointmentDate" dataDxfId="9"/>
    <tableColumn id="13" name="Escalated" dataDxfId="8"/>
    <tableColumn id="14" name="DaysToContact" dataDxfId="7">
      <calculatedColumnFormula>IF(tblReferrals[[#This Row],[DateFirstContact]]="","",tblReferrals[[#This Row],[DateFirstContact]]-tblReferrals[[#This Row],[DateReceived]])</calculatedColumnFormula>
    </tableColumn>
    <tableColumn id="15" name="DaysWaiting" dataDxfId="6">
      <calculatedColumnFormula>IF(tblReferrals[[#This Row],[DateFirstContact]]="",Settings!$B$3-tblReferrals[[#This Row],[DateReceived]],"")</calculatedColumnFormula>
    </tableColumn>
    <tableColumn id="16" name="TargetDays" dataDxfId="5">
      <calculatedColumnFormula>IFERROR(INDEX(Settings!$B$6:$B$8,MATCH(tblReferrals[[#This Row],[PriorityLevel]],Settings!$A$6:$A$8,0)),"")</calculatedColumnFormula>
    </tableColumn>
    <tableColumn id="17" name="ContactStatus" dataDxfId="4">
      <calculatedColumnFormula>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calculatedColumnFormula>
    </tableColumn>
    <tableColumn id="18" name="QualityFlag" dataDxfId="3">
      <calculatedColumnFormula>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F3864"/>
    <outlinePr summaryBelow="1" summaryRight="1"/>
    <pageSetUpPr fitToPage="1"/>
  </sheetPr>
  <dimension ref="A1:O59"/>
  <sheetViews>
    <sheetView showGridLines="0" tabSelected="1" zoomScale="84" zoomScaleNormal="84" workbookViewId="0">
      <selection activeCell="A57" sqref="A57"/>
    </sheetView>
  </sheetViews>
  <sheetFormatPr baseColWidth="8" defaultRowHeight="14.4"/>
  <cols>
    <col width="24" customWidth="1" min="1" max="5"/>
    <col width="22" customWidth="1" min="2" max="2"/>
    <col width="22" customWidth="1" min="3" max="3"/>
    <col width="24" customWidth="1" min="4" max="4"/>
    <col width="22" customWidth="1" min="5" max="5"/>
    <col width="3" customWidth="1" min="6" max="6"/>
  </cols>
  <sheetData>
    <row r="1">
      <c r="A1" s="20" t="inlineStr">
        <is>
          <t>Referral Service Summary (simulated data)</t>
        </is>
      </c>
    </row>
    <row r="2">
      <c r="A2" s="21" t="inlineStr">
        <is>
          <t>Simulated data. Targets are assumptions set on the Settings sheet.</t>
        </is>
      </c>
    </row>
    <row r="3" ht="22" customHeight="1">
      <c r="A3" s="22" t="inlineStr">
        <is>
          <t>Headline measures</t>
        </is>
      </c>
      <c r="B3" s="23" t="n"/>
      <c r="C3" s="23" t="n"/>
      <c r="D3" s="23" t="n"/>
      <c r="E3" s="23" t="n"/>
    </row>
    <row r="4" ht="30" customHeight="1">
      <c r="A4" s="24" t="inlineStr">
        <is>
          <t>Total Referrals</t>
        </is>
      </c>
      <c r="B4" s="24" t="inlineStr">
        <is>
          <t>Contacted within target</t>
        </is>
      </c>
      <c r="C4" s="24" t="inlineStr">
        <is>
          <t>Overdue: not contacted</t>
        </is>
      </c>
      <c r="D4" s="24" t="inlineStr">
        <is>
          <t>Urgent not escalated</t>
        </is>
      </c>
      <c r="E4" s="24" t="inlineStr">
        <is>
          <t>Records passing checks</t>
        </is>
      </c>
    </row>
    <row r="5" ht="36" customHeight="1">
      <c r="A5" s="25">
        <f>ROWS(tblReferrals[])</f>
        <v/>
      </c>
      <c r="B5" s="26">
        <f>COUNTIF(tblReferrals[ContactStatus],"Contacted within target")/(COUNTIF(tblReferrals[ContactStatus],"Contacted within target")+COUNTIF(tblReferrals[ContactStatus],"Contacted late"))</f>
        <v/>
      </c>
      <c r="C5" s="25">
        <f>COUNTIF(tblReferrals[ContactStatus],"Overdue - not contacted")</f>
        <v/>
      </c>
      <c r="D5" s="25">
        <f>COUNTIFS(tblReferrals[PriorityLevel],"Urgent",tblReferrals[Escalated],"No")</f>
        <v/>
      </c>
      <c r="E5" s="26">
        <f>COUNTIF(tblReferrals[QualityFlag],"OK")/ROWS(tblReferrals[])</f>
        <v/>
      </c>
    </row>
    <row r="6" ht="18" customHeight="1">
      <c r="A6" s="27" t="inlineStr">
        <is>
          <t>Targets (assumed)</t>
        </is>
      </c>
      <c r="B6" s="28">
        <f>Settings!B12</f>
        <v/>
      </c>
      <c r="C6" s="29" t="n"/>
      <c r="D6" s="29" t="n"/>
      <c r="E6" s="28">
        <f>Settings!B13</f>
        <v/>
      </c>
    </row>
    <row r="7" ht="26" customHeight="1">
      <c r="A7" s="22" t="inlineStr">
        <is>
          <t>Referrals by month</t>
        </is>
      </c>
      <c r="B7" s="23" t="n"/>
      <c r="D7" s="22" t="inlineStr">
        <is>
          <t>Referrals by status</t>
        </is>
      </c>
      <c r="E7" s="23" t="n"/>
    </row>
    <row r="8" ht="20" customHeight="1">
      <c r="A8" s="30" t="inlineStr">
        <is>
          <t>Month starting</t>
        </is>
      </c>
      <c r="B8" s="31" t="inlineStr">
        <is>
          <t>Referrals</t>
        </is>
      </c>
      <c r="D8" s="30" t="inlineStr">
        <is>
          <t>Status</t>
        </is>
      </c>
      <c r="E8" s="31" t="inlineStr">
        <is>
          <t>Referrals</t>
        </is>
      </c>
    </row>
    <row r="9">
      <c r="A9" s="32" t="n">
        <v>46174</v>
      </c>
      <c r="B9" s="33">
        <f>COUNTIFS(tblReferrals[DateReceived],"&gt;="&amp;A9,tblReferrals[DateReceived],"&lt;"&amp;EDATE(A9,1))</f>
        <v/>
      </c>
      <c r="D9" s="34" t="inlineStr">
        <is>
          <t>New</t>
        </is>
      </c>
      <c r="E9" s="33">
        <f>COUNTIF(tblReferrals[Status],D9)</f>
        <v/>
      </c>
    </row>
    <row r="10">
      <c r="A10" s="32" t="n">
        <v>46204</v>
      </c>
      <c r="B10" s="33">
        <f>COUNTIFS(tblReferrals[DateReceived],"&gt;="&amp;A10,tblReferrals[DateReceived],"&lt;"&amp;EDATE(A10,1))</f>
        <v/>
      </c>
      <c r="D10" s="34" t="inlineStr">
        <is>
          <t>Contacted</t>
        </is>
      </c>
      <c r="E10" s="33">
        <f>COUNTIF(tblReferrals[Status],D10)</f>
        <v/>
      </c>
    </row>
    <row r="11">
      <c r="A11" s="32" t="n">
        <v>46235</v>
      </c>
      <c r="B11" s="33">
        <f>COUNTIFS(tblReferrals[DateReceived],"&gt;="&amp;A11,tblReferrals[DateReceived],"&lt;"&amp;EDATE(A11,1))</f>
        <v/>
      </c>
      <c r="D11" s="34" t="inlineStr">
        <is>
          <t>Awaiting info</t>
        </is>
      </c>
      <c r="E11" s="33">
        <f>COUNTIF(tblReferrals[Status],D11)</f>
        <v/>
      </c>
    </row>
    <row r="12">
      <c r="D12" s="34" t="inlineStr">
        <is>
          <t>Consent pending</t>
        </is>
      </c>
      <c r="E12" s="33">
        <f>COUNTIF(tblReferrals[Status],D12)</f>
        <v/>
      </c>
    </row>
    <row r="13">
      <c r="D13" s="34" t="inlineStr">
        <is>
          <t>Enrolled</t>
        </is>
      </c>
      <c r="E13" s="33">
        <f>COUNTIF(tblReferrals[Status],D13)</f>
        <v/>
      </c>
    </row>
    <row r="14">
      <c r="D14" s="34" t="inlineStr">
        <is>
          <t>Unable to contact</t>
        </is>
      </c>
      <c r="E14" s="33">
        <f>COUNTIF(tblReferrals[Status],D14)</f>
        <v/>
      </c>
    </row>
    <row r="15">
      <c r="D15" s="34" t="inlineStr">
        <is>
          <t>Declined</t>
        </is>
      </c>
      <c r="E15" s="33">
        <f>COUNTIF(tblReferrals[Status],D15)</f>
        <v/>
      </c>
    </row>
    <row r="23" ht="26" customHeight="1">
      <c r="A23" s="22" t="inlineStr">
        <is>
          <t>Time to first contact</t>
        </is>
      </c>
      <c r="B23" s="23" t="n"/>
    </row>
    <row r="24" ht="20" customHeight="1">
      <c r="A24" s="30" t="inlineStr">
        <is>
          <t>Priority</t>
        </is>
      </c>
      <c r="B24" s="31" t="inlineStr">
        <is>
          <t>Avg days to first contact</t>
        </is>
      </c>
    </row>
    <row r="25">
      <c r="A25" s="34" t="inlineStr">
        <is>
          <t>Urgent</t>
        </is>
      </c>
      <c r="B25" s="35">
        <f>AVERAGEIFS(tblReferrals[DaysToContact],tblReferrals[PriorityLevel],A25,tblReferrals[DaysToContact],"&gt;=0")</f>
        <v/>
      </c>
    </row>
    <row r="26">
      <c r="A26" s="34" t="inlineStr">
        <is>
          <t>High</t>
        </is>
      </c>
      <c r="B26" s="35">
        <f>AVERAGEIFS(tblReferrals[DaysToContact],tblReferrals[PriorityLevel],A26,tblReferrals[DaysToContact],"&gt;=0")</f>
        <v/>
      </c>
    </row>
    <row r="27">
      <c r="A27" s="34" t="inlineStr">
        <is>
          <t>Routine</t>
        </is>
      </c>
      <c r="B27" s="35">
        <f>AVERAGEIFS(tblReferrals[DaysToContact],tblReferrals[PriorityLevel],A27,tblReferrals[DaysToContact],"&gt;=0")</f>
        <v/>
      </c>
    </row>
    <row r="29">
      <c r="M29" s="19" t="n"/>
    </row>
    <row r="31">
      <c r="C31" s="10" t="n"/>
    </row>
    <row r="32">
      <c r="C32" s="10" t="n"/>
    </row>
    <row r="33">
      <c r="C33" s="10" t="n"/>
    </row>
    <row r="34">
      <c r="C34" s="10" t="n"/>
    </row>
    <row r="35">
      <c r="C35" s="10" t="n"/>
    </row>
    <row r="37" ht="14.4" customHeight="1"/>
    <row r="41" ht="30" customHeight="1">
      <c r="A41" s="36" t="inlineStr">
        <is>
          <t>Simulated data with small numbers per group: no conclusions should be drawn. With real data, review this view with the team to check that timeliness is equitable.</t>
        </is>
      </c>
      <c r="F41" s="37" t="n"/>
      <c r="G41" s="37" t="n"/>
      <c r="H41" s="37" t="n"/>
      <c r="I41" s="37" t="n"/>
      <c r="J41" s="37" t="n"/>
      <c r="K41" s="37" t="n"/>
      <c r="L41" s="37" t="n"/>
      <c r="M41" s="37" t="n"/>
      <c r="N41" s="37" t="n"/>
      <c r="O41" s="37" t="n"/>
    </row>
    <row r="42">
      <c r="A42" s="37" t="n"/>
      <c r="B42" s="37" t="n"/>
      <c r="C42" s="37" t="n"/>
      <c r="D42" s="37" t="n"/>
      <c r="E42" s="37" t="n"/>
      <c r="F42" s="37" t="n"/>
      <c r="G42" s="37" t="n"/>
      <c r="H42" s="37" t="n"/>
      <c r="I42" s="37" t="n"/>
      <c r="J42" s="37" t="n"/>
      <c r="K42" s="37" t="n"/>
      <c r="L42" s="37" t="n"/>
      <c r="M42" s="37" t="n"/>
      <c r="N42" s="37" t="n"/>
      <c r="O42" s="37" t="n"/>
    </row>
    <row r="43" ht="24" customHeight="1">
      <c r="A43" s="22" t="inlineStr">
        <is>
          <t>Key findings</t>
        </is>
      </c>
      <c r="B43" s="38" t="n"/>
      <c r="C43" s="38" t="n"/>
      <c r="D43" s="38" t="n"/>
      <c r="E43" s="38" t="n"/>
      <c r="F43" s="37" t="n"/>
      <c r="G43" s="37" t="n"/>
      <c r="H43" s="37" t="n"/>
      <c r="I43" s="37" t="n"/>
      <c r="J43" s="37" t="n"/>
      <c r="K43" s="37" t="n"/>
      <c r="L43" s="37" t="n"/>
      <c r="M43" s="37" t="n"/>
      <c r="N43" s="37" t="n"/>
      <c r="O43" s="37" t="n"/>
    </row>
    <row r="44" ht="18.3" customHeight="1">
      <c r="A44" s="39" t="inlineStr">
        <is>
          <t>•  65% of contacted referrals were reached within the assumed target times (target 80%); 37 were contacted late.</t>
        </is>
      </c>
      <c r="F44" s="37" t="n"/>
      <c r="G44" s="37" t="n"/>
      <c r="H44" s="37" t="n"/>
      <c r="I44" s="37" t="n"/>
      <c r="J44" s="37" t="n"/>
      <c r="K44" s="37" t="n"/>
      <c r="L44" s="37" t="n"/>
      <c r="M44" s="37" t="n"/>
      <c r="N44" s="37" t="n"/>
      <c r="O44" s="37" t="n"/>
    </row>
    <row r="45" ht="18.3" customHeight="1">
      <c r="A45" s="39" t="inlineStr">
        <is>
          <t>•  5 referrals are overdue for first contact.</t>
        </is>
      </c>
      <c r="F45" s="37" t="n"/>
      <c r="G45" s="37" t="n"/>
      <c r="H45" s="37" t="n"/>
      <c r="I45" s="37" t="n"/>
      <c r="J45" s="37" t="n"/>
      <c r="K45" s="37" t="n"/>
      <c r="L45" s="37" t="n"/>
      <c r="M45" s="37" t="n"/>
      <c r="N45" s="37" t="n"/>
      <c r="O45" s="37" t="n"/>
    </row>
    <row r="46" ht="18.3" customHeight="1">
      <c r="A46" s="39" t="inlineStr">
        <is>
          <t>•  4 urgent referrals have no escalation recorded and should be reviewed.</t>
        </is>
      </c>
      <c r="F46" s="37" t="n"/>
      <c r="G46" s="37" t="n"/>
      <c r="H46" s="37" t="n"/>
      <c r="I46" s="37" t="n"/>
      <c r="J46" s="37" t="n"/>
      <c r="K46" s="37" t="n"/>
      <c r="L46" s="37" t="n"/>
      <c r="M46" s="37" t="n"/>
      <c r="N46" s="37" t="n"/>
      <c r="O46" s="37" t="n"/>
    </row>
    <row r="47" ht="18.3" customHeight="1">
      <c r="A47" s="39" t="inlineStr">
        <is>
          <t>•  27 of 120 records carry a data-quality flag (missing fields, possible duplicates, or inconsistent dates or consent).</t>
        </is>
      </c>
      <c r="F47" s="37" t="n"/>
      <c r="G47" s="37" t="n"/>
      <c r="H47" s="37" t="n"/>
      <c r="I47" s="37" t="n"/>
      <c r="J47" s="37" t="n"/>
      <c r="K47" s="37" t="n"/>
      <c r="L47" s="37" t="n"/>
      <c r="M47" s="37" t="n"/>
      <c r="N47" s="37" t="n"/>
      <c r="O47" s="37" t="n"/>
    </row>
    <row r="48">
      <c r="A48" s="37" t="n"/>
      <c r="B48" s="37" t="n"/>
      <c r="C48" s="37" t="n"/>
      <c r="D48" s="37" t="n"/>
      <c r="E48" s="37" t="n"/>
      <c r="F48" s="37" t="n"/>
      <c r="G48" s="37" t="n"/>
      <c r="H48" s="37" t="n"/>
      <c r="I48" s="37" t="n"/>
      <c r="J48" s="37" t="n"/>
      <c r="K48" s="37" t="n"/>
      <c r="L48" s="37" t="n"/>
      <c r="M48" s="37" t="n"/>
      <c r="N48" s="37" t="n"/>
      <c r="O48" s="37" t="n"/>
    </row>
    <row r="49" ht="24" customHeight="1">
      <c r="A49" s="22" t="inlineStr">
        <is>
          <t>Recommended actions</t>
        </is>
      </c>
      <c r="B49" s="38" t="n"/>
      <c r="C49" s="38" t="n"/>
      <c r="D49" s="38" t="n"/>
      <c r="E49" s="38" t="n"/>
      <c r="F49" s="37" t="n"/>
      <c r="G49" s="37" t="n"/>
      <c r="H49" s="37" t="n"/>
      <c r="I49" s="37" t="n"/>
      <c r="J49" s="37" t="n"/>
      <c r="K49" s="37" t="n"/>
      <c r="L49" s="37" t="n"/>
      <c r="M49" s="37" t="n"/>
      <c r="N49" s="37" t="n"/>
      <c r="O49" s="37" t="n"/>
    </row>
    <row r="50" ht="18.3" customHeight="1">
      <c r="A50" s="39" t="inlineStr">
        <is>
          <t>•  Contact the 5 overdue referrals and record the outcome.</t>
        </is>
      </c>
      <c r="F50" s="37" t="n"/>
      <c r="G50" s="37" t="n"/>
      <c r="H50" s="37" t="n"/>
      <c r="I50" s="37" t="n"/>
      <c r="J50" s="37" t="n"/>
      <c r="K50" s="37" t="n"/>
      <c r="L50" s="37" t="n"/>
      <c r="M50" s="37" t="n"/>
      <c r="N50" s="37" t="n"/>
      <c r="O50" s="37" t="n"/>
    </row>
    <row r="51" ht="18.3" customHeight="1">
      <c r="A51" s="39" t="inlineStr">
        <is>
          <t>•  Confirm escalation decisions for the 4 urgent referrals.</t>
        </is>
      </c>
      <c r="F51" s="37" t="n"/>
      <c r="G51" s="37" t="n"/>
      <c r="H51" s="37" t="n"/>
      <c r="I51" s="37" t="n"/>
      <c r="J51" s="37" t="n"/>
      <c r="K51" s="37" t="n"/>
      <c r="L51" s="37" t="n"/>
      <c r="M51" s="37" t="n"/>
      <c r="N51" s="37" t="n"/>
      <c r="O51" s="37" t="n"/>
    </row>
    <row r="52" ht="18.3" customHeight="1">
      <c r="A52" s="39" t="inlineStr">
        <is>
          <t>•  Correct the 27 flagged records with referrers, starting with the 5 that have no priority.</t>
        </is>
      </c>
      <c r="F52" s="37" t="n"/>
      <c r="G52" s="37" t="n"/>
      <c r="H52" s="37" t="n"/>
      <c r="I52" s="37" t="n"/>
      <c r="J52" s="37" t="n"/>
      <c r="K52" s="37" t="n"/>
      <c r="L52" s="37" t="n"/>
      <c r="M52" s="37" t="n"/>
      <c r="N52" s="37" t="n"/>
      <c r="O52" s="37" t="n"/>
    </row>
    <row r="53" ht="18.3" customHeight="1">
      <c r="A53" s="39" t="inlineStr">
        <is>
          <t>•  Review whether target times are realistic, since routine referrals average about 6.6 days to first contact.</t>
        </is>
      </c>
      <c r="F53" s="37" t="n"/>
      <c r="G53" s="37" t="n"/>
      <c r="H53" s="37" t="n"/>
      <c r="I53" s="37" t="n"/>
      <c r="J53" s="37" t="n"/>
      <c r="K53" s="37" t="n"/>
      <c r="L53" s="37" t="n"/>
      <c r="M53" s="37" t="n"/>
      <c r="N53" s="37" t="n"/>
      <c r="O53" s="37" t="n"/>
    </row>
    <row r="54">
      <c r="A54" s="37" t="n"/>
      <c r="B54" s="37" t="n"/>
      <c r="C54" s="37" t="n"/>
      <c r="D54" s="37" t="n"/>
      <c r="E54" s="37" t="n"/>
      <c r="F54" s="37" t="n"/>
      <c r="G54" s="37" t="n"/>
      <c r="H54" s="37" t="n"/>
      <c r="I54" s="37" t="n"/>
      <c r="J54" s="37" t="n"/>
      <c r="K54" s="37" t="n"/>
      <c r="L54" s="37" t="n"/>
      <c r="M54" s="37" t="n"/>
      <c r="N54" s="37" t="n"/>
      <c r="O54" s="37" t="n"/>
    </row>
    <row r="55">
      <c r="A55" s="40" t="inlineStr">
        <is>
          <t>Based on simulated data and assumed targets.</t>
        </is>
      </c>
      <c r="B55" s="37" t="n"/>
      <c r="C55" s="37" t="n"/>
      <c r="D55" s="37" t="n"/>
      <c r="E55" s="37" t="n"/>
      <c r="F55" s="37" t="n"/>
      <c r="G55" s="37" t="n"/>
      <c r="H55" s="37" t="n"/>
      <c r="I55" s="37" t="n"/>
      <c r="J55" s="37" t="n"/>
      <c r="K55" s="37" t="n"/>
      <c r="L55" s="37" t="n"/>
      <c r="M55" s="37" t="n"/>
      <c r="N55" s="37" t="n"/>
      <c r="O55" s="37" t="n"/>
    </row>
    <row r="56">
      <c r="A56" s="37" t="n"/>
      <c r="B56" s="37" t="n"/>
      <c r="C56" s="37" t="n"/>
      <c r="D56" s="37" t="n"/>
      <c r="E56" s="37" t="n"/>
      <c r="F56" s="37" t="n"/>
      <c r="G56" s="37" t="n"/>
      <c r="H56" s="37" t="n"/>
      <c r="I56" s="37" t="n"/>
      <c r="J56" s="37" t="n"/>
      <c r="K56" s="37" t="n"/>
      <c r="L56" s="37" t="n"/>
      <c r="M56" s="37" t="n"/>
      <c r="N56" s="37" t="n"/>
      <c r="O56" s="37" t="n"/>
    </row>
    <row r="57">
      <c r="A57" s="37" t="n"/>
      <c r="B57" s="37" t="n"/>
      <c r="C57" s="37" t="n"/>
      <c r="D57" s="37" t="n"/>
      <c r="E57" s="37" t="n"/>
      <c r="F57" s="37" t="n"/>
      <c r="G57" s="37" t="n"/>
      <c r="H57" s="37" t="n"/>
      <c r="I57" s="37" t="n"/>
      <c r="J57" s="37" t="n"/>
      <c r="K57" s="37" t="n"/>
      <c r="L57" s="37" t="n"/>
      <c r="M57" s="37" t="n"/>
      <c r="N57" s="37" t="n"/>
      <c r="O57" s="37" t="n"/>
    </row>
    <row r="58">
      <c r="A58" s="37" t="n"/>
      <c r="B58" s="37" t="n"/>
      <c r="C58" s="37" t="n"/>
      <c r="D58" s="37" t="n"/>
      <c r="E58" s="37" t="n"/>
      <c r="F58" s="37" t="n"/>
      <c r="G58" s="37" t="n"/>
      <c r="H58" s="37" t="n"/>
      <c r="I58" s="37" t="n"/>
      <c r="J58" s="37" t="n"/>
      <c r="K58" s="37" t="n"/>
      <c r="L58" s="37" t="n"/>
      <c r="M58" s="37" t="n"/>
      <c r="N58" s="37" t="n"/>
      <c r="O58" s="37" t="n"/>
    </row>
    <row r="59">
      <c r="A59" s="37" t="n"/>
      <c r="B59" s="37" t="n"/>
      <c r="C59" s="37" t="n"/>
      <c r="D59" s="37" t="n"/>
      <c r="E59" s="37" t="n"/>
      <c r="F59" s="37" t="n"/>
      <c r="G59" s="37" t="n"/>
      <c r="H59" s="37" t="n"/>
      <c r="I59" s="37" t="n"/>
      <c r="J59" s="37" t="n"/>
      <c r="K59" s="37" t="n"/>
      <c r="L59" s="37" t="n"/>
      <c r="M59" s="37" t="n"/>
      <c r="N59" s="37" t="n"/>
      <c r="O59" s="37" t="n"/>
    </row>
    <row r="60" ht="14.4" customHeight="1"/>
  </sheetData>
  <mergeCells count="9">
    <mergeCell ref="A53:E53"/>
    <mergeCell ref="A50:E50"/>
    <mergeCell ref="A52:E52"/>
    <mergeCell ref="A41:E41"/>
    <mergeCell ref="A51:E51"/>
    <mergeCell ref="A47:E47"/>
    <mergeCell ref="A45:E45"/>
    <mergeCell ref="A46:E46"/>
    <mergeCell ref="A44:E44"/>
  </mergeCells>
  <conditionalFormatting sqref="B5">
    <cfRule type="cellIs" priority="1" operator="lessThan" dxfId="23">
      <formula>$B$6</formula>
    </cfRule>
    <cfRule type="cellIs" priority="2" operator="greaterThanOrEqual" dxfId="24">
      <formula>$B$6</formula>
    </cfRule>
  </conditionalFormatting>
  <conditionalFormatting sqref="E5">
    <cfRule type="cellIs" priority="3" operator="lessThan" dxfId="23">
      <formula>$E$6</formula>
    </cfRule>
    <cfRule type="cellIs" priority="4" operator="greaterThanOrEqual" dxfId="24">
      <formula>$E$6</formula>
    </cfRule>
  </conditionalFormatting>
  <conditionalFormatting sqref="C5:D5">
    <cfRule type="cellIs" priority="5" operator="greaterThan" dxfId="23">
      <formula>0</formula>
    </cfRule>
    <cfRule type="cellIs" priority="6" operator="equal" dxfId="24">
      <formula>0</formula>
    </cfRule>
  </conditionalFormatting>
  <pageMargins left="0.7" right="0.7" top="0.75" bottom="0.75" header="0.3" footer="0.3"/>
  <pageSetup orientation="portrait" paperSize="8" scale="98" fitToHeight="0" fitToWidth="1"/>
  <drawing xmlns:r="http://schemas.openxmlformats.org/officeDocument/2006/relationships" r:id="rId1"/>
</worksheet>
</file>

<file path=xl/worksheets/sheet2.xml><?xml version="1.0" encoding="utf-8"?>
<worksheet xmlns="http://schemas.openxmlformats.org/spreadsheetml/2006/main">
  <sheetPr>
    <tabColor rgb="002F5597"/>
    <outlinePr summaryBelow="1" summaryRight="1"/>
    <pageSetUpPr fitToPage="1"/>
  </sheetPr>
  <dimension ref="A1:R121"/>
  <sheetViews>
    <sheetView tabSelected="0" zoomScale="67" workbookViewId="0">
      <pane xSplit="1" ySplit="1" topLeftCell="B2" activePane="bottomRight" state="frozen"/>
      <selection pane="topRight"/>
      <selection pane="bottomLeft"/>
      <selection pane="bottomRight" activeCell="Q13" sqref="Q13"/>
    </sheetView>
  </sheetViews>
  <sheetFormatPr baseColWidth="8" defaultRowHeight="14.4"/>
  <cols>
    <col width="11" customWidth="1" min="1" max="1"/>
    <col width="13" customWidth="1" min="2" max="2"/>
    <col width="11" customWidth="1" min="3" max="3"/>
    <col width="21" customWidth="1" min="4" max="4"/>
    <col width="13" customWidth="1" min="5" max="5"/>
    <col width="12" customWidth="1" min="6" max="6"/>
    <col width="13" customWidth="1" min="7" max="7"/>
    <col width="15" customWidth="1" min="8" max="8"/>
    <col width="14" customWidth="1" min="9" max="9"/>
    <col width="17" customWidth="1" min="10" max="10"/>
    <col width="15" customWidth="1" min="11" max="11"/>
    <col width="16" customWidth="1" min="12" max="12"/>
    <col width="11" customWidth="1" min="13" max="13"/>
    <col width="13" customWidth="1" min="14" max="16"/>
    <col width="12" customWidth="1" min="15" max="15"/>
    <col width="11" customWidth="1" min="16" max="16"/>
    <col width="30" customWidth="1" min="17" max="17"/>
    <col width="25" customWidth="1" min="18" max="18"/>
  </cols>
  <sheetData>
    <row r="1" ht="30" customHeight="1">
      <c r="A1" s="41" t="inlineStr">
        <is>
          <t>ReferralID</t>
        </is>
      </c>
      <c r="B1" s="42" t="inlineStr">
        <is>
          <t>DateReceived</t>
        </is>
      </c>
      <c r="C1" s="41" t="inlineStr">
        <is>
          <t>ClientCode</t>
        </is>
      </c>
      <c r="D1" s="41" t="inlineStr">
        <is>
          <t>ReferrerType</t>
        </is>
      </c>
      <c r="E1" s="41" t="inlineStr">
        <is>
          <t>Ethnicity</t>
        </is>
      </c>
      <c r="F1" s="42" t="inlineStr">
        <is>
          <t>PriorityLevel</t>
        </is>
      </c>
      <c r="G1" s="42" t="inlineStr">
        <is>
          <t>InfoComplete</t>
        </is>
      </c>
      <c r="H1" s="42" t="inlineStr">
        <is>
          <t>DateFirstContact</t>
        </is>
      </c>
      <c r="I1" s="41" t="inlineStr">
        <is>
          <t>ContactMethod</t>
        </is>
      </c>
      <c r="J1" s="41" t="inlineStr">
        <is>
          <t>Status</t>
        </is>
      </c>
      <c r="K1" s="42" t="inlineStr">
        <is>
          <t>ConsentObtained</t>
        </is>
      </c>
      <c r="L1" s="42" t="inlineStr">
        <is>
          <t>AppointmentDate</t>
        </is>
      </c>
      <c r="M1" s="42" t="inlineStr">
        <is>
          <t>Escalated</t>
        </is>
      </c>
      <c r="N1" s="42" t="inlineStr">
        <is>
          <t>DaysToContact</t>
        </is>
      </c>
      <c r="O1" s="42" t="inlineStr">
        <is>
          <t>DaysWaiting</t>
        </is>
      </c>
      <c r="P1" s="42" t="inlineStr">
        <is>
          <t>TargetDays</t>
        </is>
      </c>
      <c r="Q1" s="41" t="inlineStr">
        <is>
          <t>ContactStatus</t>
        </is>
      </c>
      <c r="R1" s="41" t="inlineStr">
        <is>
          <t>QualityFlag</t>
        </is>
      </c>
    </row>
    <row r="2">
      <c r="A2" s="43" t="inlineStr">
        <is>
          <t>R001</t>
        </is>
      </c>
      <c r="B2" s="44" t="n">
        <v>46174</v>
      </c>
      <c r="C2" s="43" t="inlineStr">
        <is>
          <t>C1007</t>
        </is>
      </c>
      <c r="D2" s="43" t="inlineStr">
        <is>
          <t>GP</t>
        </is>
      </c>
      <c r="E2" s="43" t="inlineStr">
        <is>
          <t>Māori</t>
        </is>
      </c>
      <c r="F2" s="45" t="inlineStr">
        <is>
          <t>Urgent</t>
        </is>
      </c>
      <c r="G2" s="45" t="inlineStr">
        <is>
          <t>Yes</t>
        </is>
      </c>
      <c r="H2" s="44" t="n">
        <v>46174</v>
      </c>
      <c r="I2" s="43" t="inlineStr">
        <is>
          <t>In person</t>
        </is>
      </c>
      <c r="J2" s="43" t="inlineStr">
        <is>
          <t>Contacted</t>
        </is>
      </c>
      <c r="K2" s="45" t="inlineStr">
        <is>
          <t>Pending</t>
        </is>
      </c>
      <c r="L2" s="44" t="n"/>
      <c r="M2" s="45" t="inlineStr">
        <is>
          <t>Yes</t>
        </is>
      </c>
      <c r="N2" s="46">
        <f>IF(tblReferrals[[#This Row],[DateFirstContact]]="","",tblReferrals[[#This Row],[DateFirstContact]]-tblReferrals[[#This Row],[DateReceived]])</f>
        <v/>
      </c>
      <c r="O2" s="46">
        <f>IF(tblReferrals[[#This Row],[DateFirstContact]]="",Settings!$B$3-tblReferrals[[#This Row],[DateReceived]],"")</f>
        <v/>
      </c>
      <c r="P2" s="46">
        <f>IFERROR(INDEX(Settings!$B$6:$B$8,MATCH(tblReferrals[[#This Row],[PriorityLevel]],Settings!$A$6:$A$8,0)),"")</f>
        <v/>
      </c>
      <c r="Q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
      <c r="A3" s="43" t="inlineStr">
        <is>
          <t>R002</t>
        </is>
      </c>
      <c r="B3" s="44" t="n">
        <v>46174</v>
      </c>
      <c r="C3" s="43" t="inlineStr">
        <is>
          <t>C1014</t>
        </is>
      </c>
      <c r="D3" s="43" t="inlineStr">
        <is>
          <t>GP</t>
        </is>
      </c>
      <c r="E3" s="43" t="inlineStr">
        <is>
          <t>Pacific</t>
        </is>
      </c>
      <c r="F3" s="45" t="inlineStr">
        <is>
          <t>High</t>
        </is>
      </c>
      <c r="G3" s="45" t="inlineStr">
        <is>
          <t>Yes</t>
        </is>
      </c>
      <c r="H3" s="44" t="n">
        <v>46177</v>
      </c>
      <c r="I3" s="43" t="inlineStr">
        <is>
          <t>Email</t>
        </is>
      </c>
      <c r="J3" s="43" t="inlineStr">
        <is>
          <t>Enrolled</t>
        </is>
      </c>
      <c r="K3" s="45" t="inlineStr">
        <is>
          <t>Yes</t>
        </is>
      </c>
      <c r="L3" s="44" t="n">
        <v>46185</v>
      </c>
      <c r="M3" s="45" t="inlineStr">
        <is>
          <t>No</t>
        </is>
      </c>
      <c r="N3" s="46">
        <f>IF(tblReferrals[[#This Row],[DateFirstContact]]="","",tblReferrals[[#This Row],[DateFirstContact]]-tblReferrals[[#This Row],[DateReceived]])</f>
        <v/>
      </c>
      <c r="O3" s="46">
        <f>IF(tblReferrals[[#This Row],[DateFirstContact]]="",Settings!$B$3-tblReferrals[[#This Row],[DateReceived]],"")</f>
        <v/>
      </c>
      <c r="P3" s="46">
        <f>IFERROR(INDEX(Settings!$B$6:$B$8,MATCH(tblReferrals[[#This Row],[PriorityLevel]],Settings!$A$6:$A$8,0)),"")</f>
        <v/>
      </c>
      <c r="Q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
      <c r="A4" s="43" t="inlineStr">
        <is>
          <t>R003</t>
        </is>
      </c>
      <c r="B4" s="44" t="n">
        <v>46175</v>
      </c>
      <c r="C4" s="43" t="inlineStr">
        <is>
          <t>C1021</t>
        </is>
      </c>
      <c r="D4" s="43" t="inlineStr">
        <is>
          <t>Hospital</t>
        </is>
      </c>
      <c r="E4" s="43" t="n"/>
      <c r="F4" s="45" t="inlineStr">
        <is>
          <t>Routine</t>
        </is>
      </c>
      <c r="G4" s="45" t="inlineStr">
        <is>
          <t>Yes</t>
        </is>
      </c>
      <c r="H4" s="44" t="n">
        <v>46182</v>
      </c>
      <c r="I4" s="43" t="inlineStr">
        <is>
          <t>Phone</t>
        </is>
      </c>
      <c r="J4" s="43" t="inlineStr">
        <is>
          <t>Enrolled</t>
        </is>
      </c>
      <c r="K4" s="45" t="inlineStr">
        <is>
          <t>Yes</t>
        </is>
      </c>
      <c r="L4" s="44" t="n">
        <v>46192</v>
      </c>
      <c r="M4" s="45" t="inlineStr">
        <is>
          <t>No</t>
        </is>
      </c>
      <c r="N4" s="46">
        <f>IF(tblReferrals[[#This Row],[DateFirstContact]]="","",tblReferrals[[#This Row],[DateFirstContact]]-tblReferrals[[#This Row],[DateReceived]])</f>
        <v/>
      </c>
      <c r="O4" s="46">
        <f>IF(tblReferrals[[#This Row],[DateFirstContact]]="",Settings!$B$3-tblReferrals[[#This Row],[DateReceived]],"")</f>
        <v/>
      </c>
      <c r="P4" s="46">
        <f>IFERROR(INDEX(Settings!$B$6:$B$8,MATCH(tblReferrals[[#This Row],[PriorityLevel]],Settings!$A$6:$A$8,0)),"")</f>
        <v/>
      </c>
      <c r="Q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
      <c r="A5" s="43" t="inlineStr">
        <is>
          <t>R004</t>
        </is>
      </c>
      <c r="B5" s="44" t="n">
        <v>46175</v>
      </c>
      <c r="C5" s="43" t="inlineStr">
        <is>
          <t>C1028</t>
        </is>
      </c>
      <c r="D5" s="43" t="inlineStr">
        <is>
          <t>Self-referral</t>
        </is>
      </c>
      <c r="E5" s="43" t="inlineStr">
        <is>
          <t>Asian</t>
        </is>
      </c>
      <c r="F5" s="45" t="inlineStr">
        <is>
          <t>Routine</t>
        </is>
      </c>
      <c r="G5" s="45" t="inlineStr">
        <is>
          <t>Yes</t>
        </is>
      </c>
      <c r="H5" s="44" t="n">
        <v>46184</v>
      </c>
      <c r="I5" s="43" t="inlineStr">
        <is>
          <t>Email</t>
        </is>
      </c>
      <c r="J5" s="43" t="inlineStr">
        <is>
          <t>Awaiting info</t>
        </is>
      </c>
      <c r="K5" s="45" t="inlineStr">
        <is>
          <t>Pending</t>
        </is>
      </c>
      <c r="L5" s="44" t="n"/>
      <c r="M5" s="45" t="inlineStr">
        <is>
          <t>No</t>
        </is>
      </c>
      <c r="N5" s="46">
        <f>IF(tblReferrals[[#This Row],[DateFirstContact]]="","",tblReferrals[[#This Row],[DateFirstContact]]-tblReferrals[[#This Row],[DateReceived]])</f>
        <v/>
      </c>
      <c r="O5" s="46">
        <f>IF(tblReferrals[[#This Row],[DateFirstContact]]="",Settings!$B$3-tblReferrals[[#This Row],[DateReceived]],"")</f>
        <v/>
      </c>
      <c r="P5" s="46">
        <f>IFERROR(INDEX(Settings!$B$6:$B$8,MATCH(tblReferrals[[#This Row],[PriorityLevel]],Settings!$A$6:$A$8,0)),"")</f>
        <v/>
      </c>
      <c r="Q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
      <c r="A6" s="43" t="inlineStr">
        <is>
          <t>R005</t>
        </is>
      </c>
      <c r="B6" s="44" t="n">
        <v>46176</v>
      </c>
      <c r="C6" s="43" t="inlineStr">
        <is>
          <t>C1035</t>
        </is>
      </c>
      <c r="D6" s="43" t="inlineStr">
        <is>
          <t>Midwife</t>
        </is>
      </c>
      <c r="E6" s="43" t="inlineStr">
        <is>
          <t>Asian</t>
        </is>
      </c>
      <c r="F6" s="45" t="inlineStr">
        <is>
          <t>Routine</t>
        </is>
      </c>
      <c r="G6" s="45" t="inlineStr">
        <is>
          <t>Yes</t>
        </is>
      </c>
      <c r="H6" s="44" t="n">
        <v>46185</v>
      </c>
      <c r="I6" s="43" t="inlineStr">
        <is>
          <t>Text</t>
        </is>
      </c>
      <c r="J6" s="43" t="inlineStr">
        <is>
          <t>Enrolled</t>
        </is>
      </c>
      <c r="K6" s="45" t="inlineStr">
        <is>
          <t>Yes</t>
        </is>
      </c>
      <c r="L6" s="44" t="n">
        <v>46198</v>
      </c>
      <c r="M6" s="45" t="inlineStr">
        <is>
          <t>No</t>
        </is>
      </c>
      <c r="N6" s="46">
        <f>IF(tblReferrals[[#This Row],[DateFirstContact]]="","",tblReferrals[[#This Row],[DateFirstContact]]-tblReferrals[[#This Row],[DateReceived]])</f>
        <v/>
      </c>
      <c r="O6" s="46">
        <f>IF(tblReferrals[[#This Row],[DateFirstContact]]="",Settings!$B$3-tblReferrals[[#This Row],[DateReceived]],"")</f>
        <v/>
      </c>
      <c r="P6" s="46">
        <f>IFERROR(INDEX(Settings!$B$6:$B$8,MATCH(tblReferrals[[#This Row],[PriorityLevel]],Settings!$A$6:$A$8,0)),"")</f>
        <v/>
      </c>
      <c r="Q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
      <c r="A7" s="43" t="inlineStr">
        <is>
          <t>R006</t>
        </is>
      </c>
      <c r="B7" s="44" t="n">
        <v>46177</v>
      </c>
      <c r="C7" s="43" t="inlineStr">
        <is>
          <t>C1042</t>
        </is>
      </c>
      <c r="D7" s="43" t="inlineStr">
        <is>
          <t>Other health provider</t>
        </is>
      </c>
      <c r="E7" s="43" t="inlineStr">
        <is>
          <t>Pacific</t>
        </is>
      </c>
      <c r="F7" s="45" t="inlineStr">
        <is>
          <t>Routine</t>
        </is>
      </c>
      <c r="G7" s="45" t="inlineStr">
        <is>
          <t>Yes</t>
        </is>
      </c>
      <c r="H7" s="44" t="n">
        <v>46178</v>
      </c>
      <c r="I7" s="43" t="inlineStr">
        <is>
          <t>Phone</t>
        </is>
      </c>
      <c r="J7" s="43" t="inlineStr">
        <is>
          <t>Declined</t>
        </is>
      </c>
      <c r="K7" s="45" t="inlineStr">
        <is>
          <t>No</t>
        </is>
      </c>
      <c r="L7" s="44" t="n"/>
      <c r="M7" s="45" t="inlineStr">
        <is>
          <t>No</t>
        </is>
      </c>
      <c r="N7" s="46">
        <f>IF(tblReferrals[[#This Row],[DateFirstContact]]="","",tblReferrals[[#This Row],[DateFirstContact]]-tblReferrals[[#This Row],[DateReceived]])</f>
        <v/>
      </c>
      <c r="O7" s="46">
        <f>IF(tblReferrals[[#This Row],[DateFirstContact]]="",Settings!$B$3-tblReferrals[[#This Row],[DateReceived]],"")</f>
        <v/>
      </c>
      <c r="P7" s="46">
        <f>IFERROR(INDEX(Settings!$B$6:$B$8,MATCH(tblReferrals[[#This Row],[PriorityLevel]],Settings!$A$6:$A$8,0)),"")</f>
        <v/>
      </c>
      <c r="Q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
      <c r="A8" s="43" t="inlineStr">
        <is>
          <t>R007</t>
        </is>
      </c>
      <c r="B8" s="44" t="n">
        <v>46178</v>
      </c>
      <c r="C8" s="43" t="inlineStr">
        <is>
          <t>C1049</t>
        </is>
      </c>
      <c r="D8" s="43" t="inlineStr">
        <is>
          <t>GP</t>
        </is>
      </c>
      <c r="E8" s="43" t="n"/>
      <c r="F8" s="45" t="inlineStr">
        <is>
          <t>Routine</t>
        </is>
      </c>
      <c r="G8" s="45" t="inlineStr">
        <is>
          <t>Yes</t>
        </is>
      </c>
      <c r="H8" s="44" t="n">
        <v>46181</v>
      </c>
      <c r="I8" s="43" t="inlineStr">
        <is>
          <t>Phone</t>
        </is>
      </c>
      <c r="J8" s="43" t="inlineStr">
        <is>
          <t>Contacted</t>
        </is>
      </c>
      <c r="K8" s="45" t="inlineStr">
        <is>
          <t>Pending</t>
        </is>
      </c>
      <c r="L8" s="44" t="n"/>
      <c r="M8" s="45" t="inlineStr">
        <is>
          <t>No</t>
        </is>
      </c>
      <c r="N8" s="46">
        <f>IF(tblReferrals[[#This Row],[DateFirstContact]]="","",tblReferrals[[#This Row],[DateFirstContact]]-tblReferrals[[#This Row],[DateReceived]])</f>
        <v/>
      </c>
      <c r="O8" s="46">
        <f>IF(tblReferrals[[#This Row],[DateFirstContact]]="",Settings!$B$3-tblReferrals[[#This Row],[DateReceived]],"")</f>
        <v/>
      </c>
      <c r="P8" s="46">
        <f>IFERROR(INDEX(Settings!$B$6:$B$8,MATCH(tblReferrals[[#This Row],[PriorityLevel]],Settings!$A$6:$A$8,0)),"")</f>
        <v/>
      </c>
      <c r="Q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
      <c r="A9" s="43" t="inlineStr">
        <is>
          <t>R008</t>
        </is>
      </c>
      <c r="B9" s="44" t="n">
        <v>46178</v>
      </c>
      <c r="C9" s="43" t="inlineStr">
        <is>
          <t>C1056</t>
        </is>
      </c>
      <c r="D9" s="43" t="inlineStr">
        <is>
          <t>Other health provider</t>
        </is>
      </c>
      <c r="E9" s="43" t="inlineStr">
        <is>
          <t>European</t>
        </is>
      </c>
      <c r="F9" s="45" t="inlineStr">
        <is>
          <t>Routine</t>
        </is>
      </c>
      <c r="G9" s="45" t="inlineStr">
        <is>
          <t>Yes</t>
        </is>
      </c>
      <c r="H9" s="44" t="n">
        <v>46176</v>
      </c>
      <c r="I9" s="43" t="inlineStr">
        <is>
          <t>Text</t>
        </is>
      </c>
      <c r="J9" s="43" t="inlineStr">
        <is>
          <t>Declined</t>
        </is>
      </c>
      <c r="K9" s="45" t="inlineStr">
        <is>
          <t>No</t>
        </is>
      </c>
      <c r="L9" s="44" t="n"/>
      <c r="M9" s="45" t="inlineStr">
        <is>
          <t>No</t>
        </is>
      </c>
      <c r="N9" s="46">
        <f>IF(tblReferrals[[#This Row],[DateFirstContact]]="","",tblReferrals[[#This Row],[DateFirstContact]]-tblReferrals[[#This Row],[DateReceived]])</f>
        <v/>
      </c>
      <c r="O9" s="46">
        <f>IF(tblReferrals[[#This Row],[DateFirstContact]]="",Settings!$B$3-tblReferrals[[#This Row],[DateReceived]],"")</f>
        <v/>
      </c>
      <c r="P9" s="46">
        <f>IFERROR(INDEX(Settings!$B$6:$B$8,MATCH(tblReferrals[[#This Row],[PriorityLevel]],Settings!$A$6:$A$8,0)),"")</f>
        <v/>
      </c>
      <c r="Q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
      <c r="A10" s="43" t="inlineStr">
        <is>
          <t>R009</t>
        </is>
      </c>
      <c r="B10" s="44" t="n">
        <v>46182</v>
      </c>
      <c r="C10" s="43" t="inlineStr">
        <is>
          <t>C1063</t>
        </is>
      </c>
      <c r="D10" s="43" t="inlineStr">
        <is>
          <t>Hospital</t>
        </is>
      </c>
      <c r="E10" s="43" t="inlineStr">
        <is>
          <t>Asian</t>
        </is>
      </c>
      <c r="F10" s="45" t="inlineStr">
        <is>
          <t>High</t>
        </is>
      </c>
      <c r="G10" s="45" t="inlineStr">
        <is>
          <t>Yes</t>
        </is>
      </c>
      <c r="H10" s="44" t="n">
        <v>46185</v>
      </c>
      <c r="I10" s="43" t="inlineStr">
        <is>
          <t>Phone</t>
        </is>
      </c>
      <c r="J10" s="43" t="inlineStr">
        <is>
          <t>Declined</t>
        </is>
      </c>
      <c r="K10" s="45" t="inlineStr">
        <is>
          <t>No</t>
        </is>
      </c>
      <c r="L10" s="44" t="n"/>
      <c r="M10" s="45" t="inlineStr">
        <is>
          <t>No</t>
        </is>
      </c>
      <c r="N10" s="46">
        <f>IF(tblReferrals[[#This Row],[DateFirstContact]]="","",tblReferrals[[#This Row],[DateFirstContact]]-tblReferrals[[#This Row],[DateReceived]])</f>
        <v/>
      </c>
      <c r="O10" s="46">
        <f>IF(tblReferrals[[#This Row],[DateFirstContact]]="",Settings!$B$3-tblReferrals[[#This Row],[DateReceived]],"")</f>
        <v/>
      </c>
      <c r="P10" s="46">
        <f>IFERROR(INDEX(Settings!$B$6:$B$8,MATCH(tblReferrals[[#This Row],[PriorityLevel]],Settings!$A$6:$A$8,0)),"")</f>
        <v/>
      </c>
      <c r="Q1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
      <c r="A11" s="43" t="inlineStr">
        <is>
          <t>R010</t>
        </is>
      </c>
      <c r="B11" s="44" t="n">
        <v>46182</v>
      </c>
      <c r="C11" s="43" t="inlineStr">
        <is>
          <t>C1070</t>
        </is>
      </c>
      <c r="D11" s="43" t="inlineStr">
        <is>
          <t>GP</t>
        </is>
      </c>
      <c r="E11" s="43" t="inlineStr">
        <is>
          <t>Other</t>
        </is>
      </c>
      <c r="F11" s="45" t="inlineStr">
        <is>
          <t>Routine</t>
        </is>
      </c>
      <c r="G11" s="45" t="inlineStr">
        <is>
          <t>Yes</t>
        </is>
      </c>
      <c r="H11" s="44" t="n">
        <v>46183</v>
      </c>
      <c r="I11" s="43" t="inlineStr">
        <is>
          <t>Phone</t>
        </is>
      </c>
      <c r="J11" s="43" t="inlineStr">
        <is>
          <t>Contacted</t>
        </is>
      </c>
      <c r="K11" s="45" t="inlineStr">
        <is>
          <t>Pending</t>
        </is>
      </c>
      <c r="L11" s="44" t="n">
        <v>46196</v>
      </c>
      <c r="M11" s="45" t="inlineStr">
        <is>
          <t>No</t>
        </is>
      </c>
      <c r="N11" s="46">
        <f>IF(tblReferrals[[#This Row],[DateFirstContact]]="","",tblReferrals[[#This Row],[DateFirstContact]]-tblReferrals[[#This Row],[DateReceived]])</f>
        <v/>
      </c>
      <c r="O11" s="46">
        <f>IF(tblReferrals[[#This Row],[DateFirstContact]]="",Settings!$B$3-tblReferrals[[#This Row],[DateReceived]],"")</f>
        <v/>
      </c>
      <c r="P11" s="46">
        <f>IFERROR(INDEX(Settings!$B$6:$B$8,MATCH(tblReferrals[[#This Row],[PriorityLevel]],Settings!$A$6:$A$8,0)),"")</f>
        <v/>
      </c>
      <c r="Q1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2">
      <c r="A12" s="43" t="inlineStr">
        <is>
          <t>R011</t>
        </is>
      </c>
      <c r="B12" s="44" t="n">
        <v>46182</v>
      </c>
      <c r="C12" s="43" t="inlineStr">
        <is>
          <t>C1077</t>
        </is>
      </c>
      <c r="D12" s="43" t="inlineStr">
        <is>
          <t>Self-referral</t>
        </is>
      </c>
      <c r="E12" s="43" t="inlineStr">
        <is>
          <t>European</t>
        </is>
      </c>
      <c r="F12" s="45" t="n"/>
      <c r="G12" s="45" t="inlineStr">
        <is>
          <t>Yes</t>
        </is>
      </c>
      <c r="H12" s="44" t="n">
        <v>46189</v>
      </c>
      <c r="I12" s="43" t="inlineStr">
        <is>
          <t>Email</t>
        </is>
      </c>
      <c r="J12" s="43" t="inlineStr">
        <is>
          <t>Contacted</t>
        </is>
      </c>
      <c r="K12" s="45" t="inlineStr">
        <is>
          <t>Pending</t>
        </is>
      </c>
      <c r="L12" s="44" t="n"/>
      <c r="M12" s="45" t="inlineStr">
        <is>
          <t>No</t>
        </is>
      </c>
      <c r="N12" s="46">
        <f>IF(tblReferrals[[#This Row],[DateFirstContact]]="","",tblReferrals[[#This Row],[DateFirstContact]]-tblReferrals[[#This Row],[DateReceived]])</f>
        <v/>
      </c>
      <c r="O12" s="46">
        <f>IF(tblReferrals[[#This Row],[DateFirstContact]]="",Settings!$B$3-tblReferrals[[#This Row],[DateReceived]],"")</f>
        <v/>
      </c>
      <c r="P12" s="46">
        <f>IFERROR(INDEX(Settings!$B$6:$B$8,MATCH(tblReferrals[[#This Row],[PriorityLevel]],Settings!$A$6:$A$8,0)),"")</f>
        <v/>
      </c>
      <c r="Q1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3">
      <c r="A13" s="43" t="inlineStr">
        <is>
          <t>R012</t>
        </is>
      </c>
      <c r="B13" s="44" t="n">
        <v>46182</v>
      </c>
      <c r="C13" s="43" t="inlineStr">
        <is>
          <t>C1084</t>
        </is>
      </c>
      <c r="D13" s="43" t="inlineStr">
        <is>
          <t>Community agency</t>
        </is>
      </c>
      <c r="E13" s="43" t="inlineStr">
        <is>
          <t>Asian</t>
        </is>
      </c>
      <c r="F13" s="45" t="inlineStr">
        <is>
          <t>Routine</t>
        </is>
      </c>
      <c r="G13" s="45" t="inlineStr">
        <is>
          <t>No</t>
        </is>
      </c>
      <c r="H13" s="44" t="n">
        <v>46195</v>
      </c>
      <c r="I13" s="43" t="inlineStr">
        <is>
          <t>In person</t>
        </is>
      </c>
      <c r="J13" s="43" t="inlineStr">
        <is>
          <t>Declined</t>
        </is>
      </c>
      <c r="K13" s="45" t="inlineStr">
        <is>
          <t>No</t>
        </is>
      </c>
      <c r="L13" s="44" t="n"/>
      <c r="M13" s="45" t="inlineStr">
        <is>
          <t>No</t>
        </is>
      </c>
      <c r="N13" s="46">
        <f>IF(tblReferrals[[#This Row],[DateFirstContact]]="","",tblReferrals[[#This Row],[DateFirstContact]]-tblReferrals[[#This Row],[DateReceived]])</f>
        <v/>
      </c>
      <c r="O13" s="46">
        <f>IF(tblReferrals[[#This Row],[DateFirstContact]]="",Settings!$B$3-tblReferrals[[#This Row],[DateReceived]],"")</f>
        <v/>
      </c>
      <c r="P13" s="46">
        <f>IFERROR(INDEX(Settings!$B$6:$B$8,MATCH(tblReferrals[[#This Row],[PriorityLevel]],Settings!$A$6:$A$8,0)),"")</f>
        <v/>
      </c>
      <c r="Q1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4">
      <c r="A14" s="43" t="inlineStr">
        <is>
          <t>R013</t>
        </is>
      </c>
      <c r="B14" s="44" t="n">
        <v>46183</v>
      </c>
      <c r="C14" s="43" t="inlineStr">
        <is>
          <t>C1091</t>
        </is>
      </c>
      <c r="D14" s="43" t="inlineStr">
        <is>
          <t>GP</t>
        </is>
      </c>
      <c r="E14" s="43" t="inlineStr">
        <is>
          <t>European</t>
        </is>
      </c>
      <c r="F14" s="45" t="inlineStr">
        <is>
          <t>High</t>
        </is>
      </c>
      <c r="G14" s="45" t="inlineStr">
        <is>
          <t>No</t>
        </is>
      </c>
      <c r="H14" s="44" t="n">
        <v>46188</v>
      </c>
      <c r="I14" s="43" t="inlineStr">
        <is>
          <t>Phone</t>
        </is>
      </c>
      <c r="J14" s="43" t="inlineStr">
        <is>
          <t>Contacted</t>
        </is>
      </c>
      <c r="K14" s="45" t="inlineStr">
        <is>
          <t>Pending</t>
        </is>
      </c>
      <c r="L14" s="44" t="n">
        <v>46198</v>
      </c>
      <c r="M14" s="45" t="inlineStr">
        <is>
          <t>No</t>
        </is>
      </c>
      <c r="N14" s="46">
        <f>IF(tblReferrals[[#This Row],[DateFirstContact]]="","",tblReferrals[[#This Row],[DateFirstContact]]-tblReferrals[[#This Row],[DateReceived]])</f>
        <v/>
      </c>
      <c r="O14" s="46">
        <f>IF(tblReferrals[[#This Row],[DateFirstContact]]="",Settings!$B$3-tblReferrals[[#This Row],[DateReceived]],"")</f>
        <v/>
      </c>
      <c r="P14" s="46">
        <f>IFERROR(INDEX(Settings!$B$6:$B$8,MATCH(tblReferrals[[#This Row],[PriorityLevel]],Settings!$A$6:$A$8,0)),"")</f>
        <v/>
      </c>
      <c r="Q1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5">
      <c r="A15" s="43" t="inlineStr">
        <is>
          <t>R014</t>
        </is>
      </c>
      <c r="B15" s="44" t="n">
        <v>46183</v>
      </c>
      <c r="C15" s="43" t="inlineStr">
        <is>
          <t>C1098</t>
        </is>
      </c>
      <c r="D15" s="43" t="inlineStr">
        <is>
          <t>GP</t>
        </is>
      </c>
      <c r="E15" s="43" t="inlineStr">
        <is>
          <t>Asian</t>
        </is>
      </c>
      <c r="F15" s="45" t="inlineStr">
        <is>
          <t>Routine</t>
        </is>
      </c>
      <c r="G15" s="45" t="inlineStr">
        <is>
          <t>Yes</t>
        </is>
      </c>
      <c r="H15" s="44" t="n">
        <v>46185</v>
      </c>
      <c r="I15" s="43" t="inlineStr">
        <is>
          <t>Phone</t>
        </is>
      </c>
      <c r="J15" s="43" t="inlineStr">
        <is>
          <t>Consent pending</t>
        </is>
      </c>
      <c r="K15" s="45" t="inlineStr">
        <is>
          <t>Pending</t>
        </is>
      </c>
      <c r="L15" s="44" t="n"/>
      <c r="M15" s="45" t="inlineStr">
        <is>
          <t>No</t>
        </is>
      </c>
      <c r="N15" s="46">
        <f>IF(tblReferrals[[#This Row],[DateFirstContact]]="","",tblReferrals[[#This Row],[DateFirstContact]]-tblReferrals[[#This Row],[DateReceived]])</f>
        <v/>
      </c>
      <c r="O15" s="46">
        <f>IF(tblReferrals[[#This Row],[DateFirstContact]]="",Settings!$B$3-tblReferrals[[#This Row],[DateReceived]],"")</f>
        <v/>
      </c>
      <c r="P15" s="46">
        <f>IFERROR(INDEX(Settings!$B$6:$B$8,MATCH(tblReferrals[[#This Row],[PriorityLevel]],Settings!$A$6:$A$8,0)),"")</f>
        <v/>
      </c>
      <c r="Q1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6">
      <c r="A16" s="43" t="inlineStr">
        <is>
          <t>R015</t>
        </is>
      </c>
      <c r="B16" s="44" t="n">
        <v>46183</v>
      </c>
      <c r="C16" s="43" t="inlineStr">
        <is>
          <t>C1105</t>
        </is>
      </c>
      <c r="D16" s="43" t="inlineStr">
        <is>
          <t>Midwife</t>
        </is>
      </c>
      <c r="E16" s="43" t="inlineStr">
        <is>
          <t>Asian</t>
        </is>
      </c>
      <c r="F16" s="45" t="inlineStr">
        <is>
          <t>Routine</t>
        </is>
      </c>
      <c r="G16" s="45" t="inlineStr">
        <is>
          <t>Yes</t>
        </is>
      </c>
      <c r="H16" s="44" t="n">
        <v>46189</v>
      </c>
      <c r="I16" s="43" t="inlineStr">
        <is>
          <t>Phone</t>
        </is>
      </c>
      <c r="J16" s="43" t="inlineStr">
        <is>
          <t>Enrolled</t>
        </is>
      </c>
      <c r="K16" s="45" t="inlineStr">
        <is>
          <t>Yes</t>
        </is>
      </c>
      <c r="L16" s="44" t="n">
        <v>46192</v>
      </c>
      <c r="M16" s="45" t="inlineStr">
        <is>
          <t>No</t>
        </is>
      </c>
      <c r="N16" s="46">
        <f>IF(tblReferrals[[#This Row],[DateFirstContact]]="","",tblReferrals[[#This Row],[DateFirstContact]]-tblReferrals[[#This Row],[DateReceived]])</f>
        <v/>
      </c>
      <c r="O16" s="46">
        <f>IF(tblReferrals[[#This Row],[DateFirstContact]]="",Settings!$B$3-tblReferrals[[#This Row],[DateReceived]],"")</f>
        <v/>
      </c>
      <c r="P16" s="46">
        <f>IFERROR(INDEX(Settings!$B$6:$B$8,MATCH(tblReferrals[[#This Row],[PriorityLevel]],Settings!$A$6:$A$8,0)),"")</f>
        <v/>
      </c>
      <c r="Q1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7">
      <c r="A17" s="43" t="inlineStr">
        <is>
          <t>R016</t>
        </is>
      </c>
      <c r="B17" s="44" t="n">
        <v>46184</v>
      </c>
      <c r="C17" s="43" t="inlineStr">
        <is>
          <t>C1112</t>
        </is>
      </c>
      <c r="D17" s="43" t="inlineStr">
        <is>
          <t>Self-referral</t>
        </is>
      </c>
      <c r="E17" s="43" t="inlineStr">
        <is>
          <t>Māori</t>
        </is>
      </c>
      <c r="F17" s="45" t="inlineStr">
        <is>
          <t>Routine</t>
        </is>
      </c>
      <c r="G17" s="45" t="inlineStr">
        <is>
          <t>No</t>
        </is>
      </c>
      <c r="H17" s="44" t="n">
        <v>46188</v>
      </c>
      <c r="I17" s="43" t="inlineStr">
        <is>
          <t>Email</t>
        </is>
      </c>
      <c r="J17" s="43" t="inlineStr">
        <is>
          <t>Consent pending</t>
        </is>
      </c>
      <c r="K17" s="45" t="inlineStr">
        <is>
          <t>Pending</t>
        </is>
      </c>
      <c r="L17" s="44" t="n"/>
      <c r="M17" s="45" t="inlineStr">
        <is>
          <t>No</t>
        </is>
      </c>
      <c r="N17" s="46">
        <f>IF(tblReferrals[[#This Row],[DateFirstContact]]="","",tblReferrals[[#This Row],[DateFirstContact]]-tblReferrals[[#This Row],[DateReceived]])</f>
        <v/>
      </c>
      <c r="O17" s="46">
        <f>IF(tblReferrals[[#This Row],[DateFirstContact]]="",Settings!$B$3-tblReferrals[[#This Row],[DateReceived]],"")</f>
        <v/>
      </c>
      <c r="P17" s="46">
        <f>IFERROR(INDEX(Settings!$B$6:$B$8,MATCH(tblReferrals[[#This Row],[PriorityLevel]],Settings!$A$6:$A$8,0)),"")</f>
        <v/>
      </c>
      <c r="Q1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8">
      <c r="A18" s="43" t="inlineStr">
        <is>
          <t>R017</t>
        </is>
      </c>
      <c r="B18" s="44" t="n">
        <v>46191</v>
      </c>
      <c r="C18" s="43" t="inlineStr">
        <is>
          <t>C1119</t>
        </is>
      </c>
      <c r="D18" s="43" t="inlineStr">
        <is>
          <t>Midwife</t>
        </is>
      </c>
      <c r="E18" s="43" t="inlineStr">
        <is>
          <t>European</t>
        </is>
      </c>
      <c r="F18" s="45" t="inlineStr">
        <is>
          <t>Routine</t>
        </is>
      </c>
      <c r="G18" s="45" t="inlineStr">
        <is>
          <t>Yes</t>
        </is>
      </c>
      <c r="H18" s="44" t="n">
        <v>46198</v>
      </c>
      <c r="I18" s="43" t="inlineStr">
        <is>
          <t>Phone</t>
        </is>
      </c>
      <c r="J18" s="43" t="inlineStr">
        <is>
          <t>Declined</t>
        </is>
      </c>
      <c r="K18" s="45" t="inlineStr">
        <is>
          <t>No</t>
        </is>
      </c>
      <c r="L18" s="44" t="n"/>
      <c r="M18" s="45" t="inlineStr">
        <is>
          <t>No</t>
        </is>
      </c>
      <c r="N18" s="46">
        <f>IF(tblReferrals[[#This Row],[DateFirstContact]]="","",tblReferrals[[#This Row],[DateFirstContact]]-tblReferrals[[#This Row],[DateReceived]])</f>
        <v/>
      </c>
      <c r="O18" s="46">
        <f>IF(tblReferrals[[#This Row],[DateFirstContact]]="",Settings!$B$3-tblReferrals[[#This Row],[DateReceived]],"")</f>
        <v/>
      </c>
      <c r="P18" s="46">
        <f>IFERROR(INDEX(Settings!$B$6:$B$8,MATCH(tblReferrals[[#This Row],[PriorityLevel]],Settings!$A$6:$A$8,0)),"")</f>
        <v/>
      </c>
      <c r="Q1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9">
      <c r="A19" s="43" t="inlineStr">
        <is>
          <t>R018</t>
        </is>
      </c>
      <c r="B19" s="44" t="n">
        <v>46192</v>
      </c>
      <c r="C19" s="43" t="inlineStr">
        <is>
          <t>C1126</t>
        </is>
      </c>
      <c r="D19" s="43" t="inlineStr">
        <is>
          <t>Midwife</t>
        </is>
      </c>
      <c r="E19" s="43" t="inlineStr">
        <is>
          <t>European</t>
        </is>
      </c>
      <c r="F19" s="45" t="inlineStr">
        <is>
          <t>High</t>
        </is>
      </c>
      <c r="G19" s="45" t="inlineStr">
        <is>
          <t>Yes</t>
        </is>
      </c>
      <c r="H19" s="44" t="n">
        <v>46199</v>
      </c>
      <c r="I19" s="43" t="inlineStr">
        <is>
          <t>Phone</t>
        </is>
      </c>
      <c r="J19" s="43" t="inlineStr">
        <is>
          <t>Declined</t>
        </is>
      </c>
      <c r="K19" s="45" t="inlineStr">
        <is>
          <t>No</t>
        </is>
      </c>
      <c r="L19" s="44" t="n"/>
      <c r="M19" s="45" t="inlineStr">
        <is>
          <t>No</t>
        </is>
      </c>
      <c r="N19" s="46">
        <f>IF(tblReferrals[[#This Row],[DateFirstContact]]="","",tblReferrals[[#This Row],[DateFirstContact]]-tblReferrals[[#This Row],[DateReceived]])</f>
        <v/>
      </c>
      <c r="O19" s="46">
        <f>IF(tblReferrals[[#This Row],[DateFirstContact]]="",Settings!$B$3-tblReferrals[[#This Row],[DateReceived]],"")</f>
        <v/>
      </c>
      <c r="P19" s="46">
        <f>IFERROR(INDEX(Settings!$B$6:$B$8,MATCH(tblReferrals[[#This Row],[PriorityLevel]],Settings!$A$6:$A$8,0)),"")</f>
        <v/>
      </c>
      <c r="Q1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0">
      <c r="A20" s="43" t="inlineStr">
        <is>
          <t>R019</t>
        </is>
      </c>
      <c r="B20" s="44" t="n">
        <v>46192</v>
      </c>
      <c r="C20" s="43" t="inlineStr">
        <is>
          <t>C1133</t>
        </is>
      </c>
      <c r="D20" s="43" t="inlineStr">
        <is>
          <t>Hospital</t>
        </is>
      </c>
      <c r="E20" s="43" t="inlineStr">
        <is>
          <t>European</t>
        </is>
      </c>
      <c r="F20" s="45" t="inlineStr">
        <is>
          <t>High</t>
        </is>
      </c>
      <c r="G20" s="45" t="inlineStr">
        <is>
          <t>Yes</t>
        </is>
      </c>
      <c r="H20" s="44" t="n">
        <v>46196</v>
      </c>
      <c r="I20" s="43" t="inlineStr">
        <is>
          <t>Phone</t>
        </is>
      </c>
      <c r="J20" s="43" t="inlineStr">
        <is>
          <t>Enrolled</t>
        </is>
      </c>
      <c r="K20" s="45" t="inlineStr">
        <is>
          <t>Yes</t>
        </is>
      </c>
      <c r="L20" s="44" t="n">
        <v>46210</v>
      </c>
      <c r="M20" s="45" t="inlineStr">
        <is>
          <t>No</t>
        </is>
      </c>
      <c r="N20" s="46">
        <f>IF(tblReferrals[[#This Row],[DateFirstContact]]="","",tblReferrals[[#This Row],[DateFirstContact]]-tblReferrals[[#This Row],[DateReceived]])</f>
        <v/>
      </c>
      <c r="O20" s="46">
        <f>IF(tblReferrals[[#This Row],[DateFirstContact]]="",Settings!$B$3-tblReferrals[[#This Row],[DateReceived]],"")</f>
        <v/>
      </c>
      <c r="P20" s="46">
        <f>IFERROR(INDEX(Settings!$B$6:$B$8,MATCH(tblReferrals[[#This Row],[PriorityLevel]],Settings!$A$6:$A$8,0)),"")</f>
        <v/>
      </c>
      <c r="Q2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1">
      <c r="A21" s="43" t="inlineStr">
        <is>
          <t>R020</t>
        </is>
      </c>
      <c r="B21" s="44" t="n">
        <v>46192</v>
      </c>
      <c r="C21" s="43" t="inlineStr">
        <is>
          <t>C1140</t>
        </is>
      </c>
      <c r="D21" s="43" t="inlineStr">
        <is>
          <t>GP</t>
        </is>
      </c>
      <c r="E21" s="43" t="inlineStr">
        <is>
          <t>Māori</t>
        </is>
      </c>
      <c r="F21" s="45" t="inlineStr">
        <is>
          <t>High</t>
        </is>
      </c>
      <c r="G21" s="45" t="inlineStr">
        <is>
          <t>No</t>
        </is>
      </c>
      <c r="H21" s="44" t="n">
        <v>46195</v>
      </c>
      <c r="I21" s="43" t="inlineStr">
        <is>
          <t>Text</t>
        </is>
      </c>
      <c r="J21" s="43" t="inlineStr">
        <is>
          <t>Awaiting info</t>
        </is>
      </c>
      <c r="K21" s="45" t="inlineStr">
        <is>
          <t>Pending</t>
        </is>
      </c>
      <c r="L21" s="44" t="n"/>
      <c r="M21" s="45" t="inlineStr">
        <is>
          <t>Yes</t>
        </is>
      </c>
      <c r="N21" s="46">
        <f>IF(tblReferrals[[#This Row],[DateFirstContact]]="","",tblReferrals[[#This Row],[DateFirstContact]]-tblReferrals[[#This Row],[DateReceived]])</f>
        <v/>
      </c>
      <c r="O21" s="46">
        <f>IF(tblReferrals[[#This Row],[DateFirstContact]]="",Settings!$B$3-tblReferrals[[#This Row],[DateReceived]],"")</f>
        <v/>
      </c>
      <c r="P21" s="46">
        <f>IFERROR(INDEX(Settings!$B$6:$B$8,MATCH(tblReferrals[[#This Row],[PriorityLevel]],Settings!$A$6:$A$8,0)),"")</f>
        <v/>
      </c>
      <c r="Q2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2">
      <c r="A22" s="43" t="inlineStr">
        <is>
          <t>R021</t>
        </is>
      </c>
      <c r="B22" s="44" t="n">
        <v>46195</v>
      </c>
      <c r="C22" s="43" t="inlineStr">
        <is>
          <t>C1147</t>
        </is>
      </c>
      <c r="D22" s="43" t="inlineStr">
        <is>
          <t>Community agency</t>
        </is>
      </c>
      <c r="E22" s="43" t="inlineStr">
        <is>
          <t>Māori</t>
        </is>
      </c>
      <c r="F22" s="45" t="inlineStr">
        <is>
          <t>High</t>
        </is>
      </c>
      <c r="G22" s="45" t="inlineStr">
        <is>
          <t>Yes</t>
        </is>
      </c>
      <c r="H22" s="44" t="n">
        <v>46198</v>
      </c>
      <c r="I22" s="43" t="inlineStr">
        <is>
          <t>Text</t>
        </is>
      </c>
      <c r="J22" s="43" t="inlineStr">
        <is>
          <t>Consent pending</t>
        </is>
      </c>
      <c r="K22" s="45" t="inlineStr">
        <is>
          <t>Pending</t>
        </is>
      </c>
      <c r="L22" s="44" t="n"/>
      <c r="M22" s="45" t="inlineStr">
        <is>
          <t>No</t>
        </is>
      </c>
      <c r="N22" s="46">
        <f>IF(tblReferrals[[#This Row],[DateFirstContact]]="","",tblReferrals[[#This Row],[DateFirstContact]]-tblReferrals[[#This Row],[DateReceived]])</f>
        <v/>
      </c>
      <c r="O22" s="46">
        <f>IF(tblReferrals[[#This Row],[DateFirstContact]]="",Settings!$B$3-tblReferrals[[#This Row],[DateReceived]],"")</f>
        <v/>
      </c>
      <c r="P22" s="46">
        <f>IFERROR(INDEX(Settings!$B$6:$B$8,MATCH(tblReferrals[[#This Row],[PriorityLevel]],Settings!$A$6:$A$8,0)),"")</f>
        <v/>
      </c>
      <c r="Q2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3">
      <c r="A23" s="43" t="inlineStr">
        <is>
          <t>R022</t>
        </is>
      </c>
      <c r="B23" s="44" t="n">
        <v>46196</v>
      </c>
      <c r="C23" s="43" t="inlineStr">
        <is>
          <t>C1154</t>
        </is>
      </c>
      <c r="D23" s="43" t="inlineStr">
        <is>
          <t>GP</t>
        </is>
      </c>
      <c r="E23" s="43" t="inlineStr">
        <is>
          <t>Pacific</t>
        </is>
      </c>
      <c r="F23" s="45" t="inlineStr">
        <is>
          <t>Routine</t>
        </is>
      </c>
      <c r="G23" s="45" t="inlineStr">
        <is>
          <t>Yes</t>
        </is>
      </c>
      <c r="H23" s="44" t="n">
        <v>46198</v>
      </c>
      <c r="I23" s="43" t="inlineStr">
        <is>
          <t>Phone</t>
        </is>
      </c>
      <c r="J23" s="43" t="inlineStr">
        <is>
          <t>Enrolled</t>
        </is>
      </c>
      <c r="K23" s="45" t="inlineStr">
        <is>
          <t>Yes</t>
        </is>
      </c>
      <c r="L23" s="44" t="n">
        <v>46210</v>
      </c>
      <c r="M23" s="45" t="inlineStr">
        <is>
          <t>No</t>
        </is>
      </c>
      <c r="N23" s="46">
        <f>IF(tblReferrals[[#This Row],[DateFirstContact]]="","",tblReferrals[[#This Row],[DateFirstContact]]-tblReferrals[[#This Row],[DateReceived]])</f>
        <v/>
      </c>
      <c r="O23" s="46">
        <f>IF(tblReferrals[[#This Row],[DateFirstContact]]="",Settings!$B$3-tblReferrals[[#This Row],[DateReceived]],"")</f>
        <v/>
      </c>
      <c r="P23" s="46">
        <f>IFERROR(INDEX(Settings!$B$6:$B$8,MATCH(tblReferrals[[#This Row],[PriorityLevel]],Settings!$A$6:$A$8,0)),"")</f>
        <v/>
      </c>
      <c r="Q2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4">
      <c r="A24" s="43" t="inlineStr">
        <is>
          <t>R023</t>
        </is>
      </c>
      <c r="B24" s="44" t="n">
        <v>46196</v>
      </c>
      <c r="C24" s="43" t="inlineStr">
        <is>
          <t>C1161</t>
        </is>
      </c>
      <c r="D24" s="43" t="inlineStr">
        <is>
          <t>Midwife</t>
        </is>
      </c>
      <c r="E24" s="43" t="inlineStr">
        <is>
          <t>Māori</t>
        </is>
      </c>
      <c r="F24" s="45" t="inlineStr">
        <is>
          <t>Urgent</t>
        </is>
      </c>
      <c r="G24" s="45" t="inlineStr">
        <is>
          <t>Yes</t>
        </is>
      </c>
      <c r="H24" s="44" t="n">
        <v>46197</v>
      </c>
      <c r="I24" s="43" t="inlineStr">
        <is>
          <t>Phone</t>
        </is>
      </c>
      <c r="J24" s="43" t="inlineStr">
        <is>
          <t>Enrolled</t>
        </is>
      </c>
      <c r="K24" s="45" t="inlineStr">
        <is>
          <t>Yes</t>
        </is>
      </c>
      <c r="L24" s="44" t="n">
        <v>46213</v>
      </c>
      <c r="M24" s="45" t="inlineStr">
        <is>
          <t>Yes</t>
        </is>
      </c>
      <c r="N24" s="46">
        <f>IF(tblReferrals[[#This Row],[DateFirstContact]]="","",tblReferrals[[#This Row],[DateFirstContact]]-tblReferrals[[#This Row],[DateReceived]])</f>
        <v/>
      </c>
      <c r="O24" s="46">
        <f>IF(tblReferrals[[#This Row],[DateFirstContact]]="",Settings!$B$3-tblReferrals[[#This Row],[DateReceived]],"")</f>
        <v/>
      </c>
      <c r="P24" s="46">
        <f>IFERROR(INDEX(Settings!$B$6:$B$8,MATCH(tblReferrals[[#This Row],[PriorityLevel]],Settings!$A$6:$A$8,0)),"")</f>
        <v/>
      </c>
      <c r="Q2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5">
      <c r="A25" s="43" t="inlineStr">
        <is>
          <t>R024</t>
        </is>
      </c>
      <c r="B25" s="44" t="n">
        <v>46196</v>
      </c>
      <c r="C25" s="43" t="inlineStr">
        <is>
          <t>C1168</t>
        </is>
      </c>
      <c r="D25" s="43" t="inlineStr">
        <is>
          <t>Hospital</t>
        </is>
      </c>
      <c r="E25" s="43" t="inlineStr">
        <is>
          <t>Other</t>
        </is>
      </c>
      <c r="F25" s="45" t="inlineStr">
        <is>
          <t>Urgent</t>
        </is>
      </c>
      <c r="G25" s="45" t="inlineStr">
        <is>
          <t>No</t>
        </is>
      </c>
      <c r="H25" s="44" t="n">
        <v>46198</v>
      </c>
      <c r="I25" s="43" t="inlineStr">
        <is>
          <t>In person</t>
        </is>
      </c>
      <c r="J25" s="43" t="inlineStr">
        <is>
          <t>Consent pending</t>
        </is>
      </c>
      <c r="K25" s="45" t="inlineStr">
        <is>
          <t>Pending</t>
        </is>
      </c>
      <c r="L25" s="44" t="n"/>
      <c r="M25" s="45" t="inlineStr">
        <is>
          <t>Yes</t>
        </is>
      </c>
      <c r="N25" s="46">
        <f>IF(tblReferrals[[#This Row],[DateFirstContact]]="","",tblReferrals[[#This Row],[DateFirstContact]]-tblReferrals[[#This Row],[DateReceived]])</f>
        <v/>
      </c>
      <c r="O25" s="46">
        <f>IF(tblReferrals[[#This Row],[DateFirstContact]]="",Settings!$B$3-tblReferrals[[#This Row],[DateReceived]],"")</f>
        <v/>
      </c>
      <c r="P25" s="46">
        <f>IFERROR(INDEX(Settings!$B$6:$B$8,MATCH(tblReferrals[[#This Row],[PriorityLevel]],Settings!$A$6:$A$8,0)),"")</f>
        <v/>
      </c>
      <c r="Q2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6">
      <c r="A26" s="43" t="inlineStr">
        <is>
          <t>R025</t>
        </is>
      </c>
      <c r="B26" s="44" t="n">
        <v>46197</v>
      </c>
      <c r="C26" s="43" t="inlineStr">
        <is>
          <t>C1175</t>
        </is>
      </c>
      <c r="D26" s="43" t="inlineStr">
        <is>
          <t>Other health provider</t>
        </is>
      </c>
      <c r="E26" s="43" t="inlineStr">
        <is>
          <t>Pacific</t>
        </is>
      </c>
      <c r="F26" s="45" t="inlineStr">
        <is>
          <t>High</t>
        </is>
      </c>
      <c r="G26" s="45" t="inlineStr">
        <is>
          <t>Yes</t>
        </is>
      </c>
      <c r="H26" s="44" t="n">
        <v>46197</v>
      </c>
      <c r="I26" s="43" t="inlineStr">
        <is>
          <t>Phone</t>
        </is>
      </c>
      <c r="J26" s="43" t="inlineStr">
        <is>
          <t>Enrolled</t>
        </is>
      </c>
      <c r="K26" s="45" t="inlineStr">
        <is>
          <t>Yes</t>
        </is>
      </c>
      <c r="L26" s="44" t="n">
        <v>46206</v>
      </c>
      <c r="M26" s="45" t="inlineStr">
        <is>
          <t>No</t>
        </is>
      </c>
      <c r="N26" s="46">
        <f>IF(tblReferrals[[#This Row],[DateFirstContact]]="","",tblReferrals[[#This Row],[DateFirstContact]]-tblReferrals[[#This Row],[DateReceived]])</f>
        <v/>
      </c>
      <c r="O26" s="46">
        <f>IF(tblReferrals[[#This Row],[DateFirstContact]]="",Settings!$B$3-tblReferrals[[#This Row],[DateReceived]],"")</f>
        <v/>
      </c>
      <c r="P26" s="46">
        <f>IFERROR(INDEX(Settings!$B$6:$B$8,MATCH(tblReferrals[[#This Row],[PriorityLevel]],Settings!$A$6:$A$8,0)),"")</f>
        <v/>
      </c>
      <c r="Q2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7">
      <c r="A27" s="43" t="inlineStr">
        <is>
          <t>R026</t>
        </is>
      </c>
      <c r="B27" s="44" t="n">
        <v>46197</v>
      </c>
      <c r="C27" s="43" t="inlineStr">
        <is>
          <t>C1182</t>
        </is>
      </c>
      <c r="D27" s="43" t="inlineStr">
        <is>
          <t>Hospital</t>
        </is>
      </c>
      <c r="E27" s="43" t="inlineStr">
        <is>
          <t>European</t>
        </is>
      </c>
      <c r="F27" s="45" t="inlineStr">
        <is>
          <t>Routine</t>
        </is>
      </c>
      <c r="G27" s="45" t="inlineStr">
        <is>
          <t>Yes</t>
        </is>
      </c>
      <c r="H27" s="44" t="n">
        <v>46199</v>
      </c>
      <c r="I27" s="43" t="inlineStr">
        <is>
          <t>Phone</t>
        </is>
      </c>
      <c r="J27" s="43" t="inlineStr">
        <is>
          <t>Consent pending</t>
        </is>
      </c>
      <c r="K27" s="45" t="inlineStr">
        <is>
          <t>Pending</t>
        </is>
      </c>
      <c r="L27" s="44" t="n"/>
      <c r="M27" s="45" t="inlineStr">
        <is>
          <t>No</t>
        </is>
      </c>
      <c r="N27" s="46">
        <f>IF(tblReferrals[[#This Row],[DateFirstContact]]="","",tblReferrals[[#This Row],[DateFirstContact]]-tblReferrals[[#This Row],[DateReceived]])</f>
        <v/>
      </c>
      <c r="O27" s="46">
        <f>IF(tblReferrals[[#This Row],[DateFirstContact]]="",Settings!$B$3-tblReferrals[[#This Row],[DateReceived]],"")</f>
        <v/>
      </c>
      <c r="P27" s="46">
        <f>IFERROR(INDEX(Settings!$B$6:$B$8,MATCH(tblReferrals[[#This Row],[PriorityLevel]],Settings!$A$6:$A$8,0)),"")</f>
        <v/>
      </c>
      <c r="Q2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8">
      <c r="A28" s="43" t="inlineStr">
        <is>
          <t>R027</t>
        </is>
      </c>
      <c r="B28" s="44" t="n">
        <v>46198</v>
      </c>
      <c r="C28" s="43" t="inlineStr">
        <is>
          <t>C1189</t>
        </is>
      </c>
      <c r="D28" s="43" t="inlineStr">
        <is>
          <t>GP</t>
        </is>
      </c>
      <c r="E28" s="43" t="inlineStr">
        <is>
          <t>European</t>
        </is>
      </c>
      <c r="F28" s="45" t="inlineStr">
        <is>
          <t>Routine</t>
        </is>
      </c>
      <c r="G28" s="45" t="inlineStr">
        <is>
          <t>No</t>
        </is>
      </c>
      <c r="H28" s="44" t="n">
        <v>46204</v>
      </c>
      <c r="I28" s="43" t="inlineStr">
        <is>
          <t>Phone</t>
        </is>
      </c>
      <c r="J28" s="43" t="inlineStr">
        <is>
          <t>Awaiting info</t>
        </is>
      </c>
      <c r="K28" s="45" t="inlineStr">
        <is>
          <t>Pending</t>
        </is>
      </c>
      <c r="L28" s="44" t="n"/>
      <c r="M28" s="45" t="inlineStr">
        <is>
          <t>No</t>
        </is>
      </c>
      <c r="N28" s="46">
        <f>IF(tblReferrals[[#This Row],[DateFirstContact]]="","",tblReferrals[[#This Row],[DateFirstContact]]-tblReferrals[[#This Row],[DateReceived]])</f>
        <v/>
      </c>
      <c r="O28" s="46">
        <f>IF(tblReferrals[[#This Row],[DateFirstContact]]="",Settings!$B$3-tblReferrals[[#This Row],[DateReceived]],"")</f>
        <v/>
      </c>
      <c r="P28" s="46">
        <f>IFERROR(INDEX(Settings!$B$6:$B$8,MATCH(tblReferrals[[#This Row],[PriorityLevel]],Settings!$A$6:$A$8,0)),"")</f>
        <v/>
      </c>
      <c r="Q2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29">
      <c r="A29" s="43" t="inlineStr">
        <is>
          <t>R028</t>
        </is>
      </c>
      <c r="B29" s="44" t="n">
        <v>46199</v>
      </c>
      <c r="C29" s="43" t="inlineStr">
        <is>
          <t>C1196</t>
        </is>
      </c>
      <c r="D29" s="43" t="inlineStr">
        <is>
          <t>GP</t>
        </is>
      </c>
      <c r="E29" s="43" t="inlineStr">
        <is>
          <t>Asian</t>
        </is>
      </c>
      <c r="F29" s="45" t="inlineStr">
        <is>
          <t>High</t>
        </is>
      </c>
      <c r="G29" s="45" t="inlineStr">
        <is>
          <t>Yes</t>
        </is>
      </c>
      <c r="H29" s="44" t="n">
        <v>46202</v>
      </c>
      <c r="I29" s="43" t="inlineStr">
        <is>
          <t>In person</t>
        </is>
      </c>
      <c r="J29" s="43" t="inlineStr">
        <is>
          <t>Enrolled</t>
        </is>
      </c>
      <c r="K29" s="45" t="inlineStr">
        <is>
          <t>Yes</t>
        </is>
      </c>
      <c r="L29" s="44" t="n">
        <v>46216</v>
      </c>
      <c r="M29" s="45" t="inlineStr">
        <is>
          <t>No</t>
        </is>
      </c>
      <c r="N29" s="46">
        <f>IF(tblReferrals[[#This Row],[DateFirstContact]]="","",tblReferrals[[#This Row],[DateFirstContact]]-tblReferrals[[#This Row],[DateReceived]])</f>
        <v/>
      </c>
      <c r="O29" s="46">
        <f>IF(tblReferrals[[#This Row],[DateFirstContact]]="",Settings!$B$3-tblReferrals[[#This Row],[DateReceived]],"")</f>
        <v/>
      </c>
      <c r="P29" s="46">
        <f>IFERROR(INDEX(Settings!$B$6:$B$8,MATCH(tblReferrals[[#This Row],[PriorityLevel]],Settings!$A$6:$A$8,0)),"")</f>
        <v/>
      </c>
      <c r="Q2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2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0">
      <c r="A30" s="43" t="inlineStr">
        <is>
          <t>R029</t>
        </is>
      </c>
      <c r="B30" s="44" t="n">
        <v>46199</v>
      </c>
      <c r="C30" s="43" t="inlineStr">
        <is>
          <t>C1203</t>
        </is>
      </c>
      <c r="D30" s="43" t="inlineStr">
        <is>
          <t>Hospital</t>
        </is>
      </c>
      <c r="E30" s="43" t="inlineStr">
        <is>
          <t>European</t>
        </is>
      </c>
      <c r="F30" s="45" t="inlineStr">
        <is>
          <t>Urgent</t>
        </is>
      </c>
      <c r="G30" s="45" t="inlineStr">
        <is>
          <t>Yes</t>
        </is>
      </c>
      <c r="H30" s="44" t="n">
        <v>46199</v>
      </c>
      <c r="I30" s="43" t="inlineStr">
        <is>
          <t>Phone</t>
        </is>
      </c>
      <c r="J30" s="43" t="inlineStr">
        <is>
          <t>Enrolled</t>
        </is>
      </c>
      <c r="K30" s="45" t="inlineStr">
        <is>
          <t>Yes</t>
        </is>
      </c>
      <c r="L30" s="44" t="n">
        <v>46217</v>
      </c>
      <c r="M30" s="45" t="inlineStr">
        <is>
          <t>Yes</t>
        </is>
      </c>
      <c r="N30" s="46">
        <f>IF(tblReferrals[[#This Row],[DateFirstContact]]="","",tblReferrals[[#This Row],[DateFirstContact]]-tblReferrals[[#This Row],[DateReceived]])</f>
        <v/>
      </c>
      <c r="O30" s="46">
        <f>IF(tblReferrals[[#This Row],[DateFirstContact]]="",Settings!$B$3-tblReferrals[[#This Row],[DateReceived]],"")</f>
        <v/>
      </c>
      <c r="P30" s="46">
        <f>IFERROR(INDEX(Settings!$B$6:$B$8,MATCH(tblReferrals[[#This Row],[PriorityLevel]],Settings!$A$6:$A$8,0)),"")</f>
        <v/>
      </c>
      <c r="Q3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1">
      <c r="A31" s="43" t="inlineStr">
        <is>
          <t>R030</t>
        </is>
      </c>
      <c r="B31" s="44" t="n">
        <v>46202</v>
      </c>
      <c r="C31" s="43" t="inlineStr">
        <is>
          <t>C1210</t>
        </is>
      </c>
      <c r="D31" s="43" t="inlineStr">
        <is>
          <t>Midwife</t>
        </is>
      </c>
      <c r="E31" s="43" t="inlineStr">
        <is>
          <t>European</t>
        </is>
      </c>
      <c r="F31" s="45" t="inlineStr">
        <is>
          <t>Routine</t>
        </is>
      </c>
      <c r="G31" s="45" t="inlineStr">
        <is>
          <t>No</t>
        </is>
      </c>
      <c r="H31" s="44" t="n">
        <v>46213</v>
      </c>
      <c r="I31" s="43" t="inlineStr">
        <is>
          <t>Phone</t>
        </is>
      </c>
      <c r="J31" s="43" t="inlineStr">
        <is>
          <t>Awaiting info</t>
        </is>
      </c>
      <c r="K31" s="45" t="inlineStr">
        <is>
          <t>Pending</t>
        </is>
      </c>
      <c r="L31" s="44" t="n"/>
      <c r="M31" s="45" t="inlineStr">
        <is>
          <t>No</t>
        </is>
      </c>
      <c r="N31" s="46">
        <f>IF(tblReferrals[[#This Row],[DateFirstContact]]="","",tblReferrals[[#This Row],[DateFirstContact]]-tblReferrals[[#This Row],[DateReceived]])</f>
        <v/>
      </c>
      <c r="O31" s="46">
        <f>IF(tblReferrals[[#This Row],[DateFirstContact]]="",Settings!$B$3-tblReferrals[[#This Row],[DateReceived]],"")</f>
        <v/>
      </c>
      <c r="P31" s="46">
        <f>IFERROR(INDEX(Settings!$B$6:$B$8,MATCH(tblReferrals[[#This Row],[PriorityLevel]],Settings!$A$6:$A$8,0)),"")</f>
        <v/>
      </c>
      <c r="Q3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2">
      <c r="A32" s="43" t="inlineStr">
        <is>
          <t>R031</t>
        </is>
      </c>
      <c r="B32" s="44" t="n">
        <v>46204</v>
      </c>
      <c r="C32" s="43" t="inlineStr">
        <is>
          <t>C1217</t>
        </is>
      </c>
      <c r="D32" s="43" t="inlineStr">
        <is>
          <t>Midwife</t>
        </is>
      </c>
      <c r="E32" s="43" t="inlineStr">
        <is>
          <t>Pacific</t>
        </is>
      </c>
      <c r="F32" s="45" t="inlineStr">
        <is>
          <t>High</t>
        </is>
      </c>
      <c r="G32" s="45" t="inlineStr">
        <is>
          <t>Yes</t>
        </is>
      </c>
      <c r="H32" s="44" t="n">
        <v>46205</v>
      </c>
      <c r="I32" s="43" t="inlineStr">
        <is>
          <t>Email</t>
        </is>
      </c>
      <c r="J32" s="43" t="inlineStr">
        <is>
          <t>Enrolled</t>
        </is>
      </c>
      <c r="K32" s="45" t="inlineStr">
        <is>
          <t>Yes</t>
        </is>
      </c>
      <c r="L32" s="44" t="n">
        <v>46220</v>
      </c>
      <c r="M32" s="45" t="inlineStr">
        <is>
          <t>No</t>
        </is>
      </c>
      <c r="N32" s="46">
        <f>IF(tblReferrals[[#This Row],[DateFirstContact]]="","",tblReferrals[[#This Row],[DateFirstContact]]-tblReferrals[[#This Row],[DateReceived]])</f>
        <v/>
      </c>
      <c r="O32" s="46">
        <f>IF(tblReferrals[[#This Row],[DateFirstContact]]="",Settings!$B$3-tblReferrals[[#This Row],[DateReceived]],"")</f>
        <v/>
      </c>
      <c r="P32" s="46">
        <f>IFERROR(INDEX(Settings!$B$6:$B$8,MATCH(tblReferrals[[#This Row],[PriorityLevel]],Settings!$A$6:$A$8,0)),"")</f>
        <v/>
      </c>
      <c r="Q3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3">
      <c r="A33" s="43" t="inlineStr">
        <is>
          <t>R032</t>
        </is>
      </c>
      <c r="B33" s="44" t="n">
        <v>46205</v>
      </c>
      <c r="C33" s="43" t="inlineStr">
        <is>
          <t>C1224</t>
        </is>
      </c>
      <c r="D33" s="43" t="inlineStr">
        <is>
          <t>GP</t>
        </is>
      </c>
      <c r="E33" s="43" t="inlineStr">
        <is>
          <t>Māori</t>
        </is>
      </c>
      <c r="F33" s="45" t="inlineStr">
        <is>
          <t>Routine</t>
        </is>
      </c>
      <c r="G33" s="45" t="inlineStr">
        <is>
          <t>Yes</t>
        </is>
      </c>
      <c r="H33" s="44" t="n">
        <v>46209</v>
      </c>
      <c r="I33" s="43" t="inlineStr">
        <is>
          <t>Phone</t>
        </is>
      </c>
      <c r="J33" s="43" t="inlineStr">
        <is>
          <t>Enrolled</t>
        </is>
      </c>
      <c r="K33" s="45" t="inlineStr">
        <is>
          <t>Yes</t>
        </is>
      </c>
      <c r="L33" s="44" t="n">
        <v>46225</v>
      </c>
      <c r="M33" s="45" t="inlineStr">
        <is>
          <t>No</t>
        </is>
      </c>
      <c r="N33" s="46">
        <f>IF(tblReferrals[[#This Row],[DateFirstContact]]="","",tblReferrals[[#This Row],[DateFirstContact]]-tblReferrals[[#This Row],[DateReceived]])</f>
        <v/>
      </c>
      <c r="O33" s="46">
        <f>IF(tblReferrals[[#This Row],[DateFirstContact]]="",Settings!$B$3-tblReferrals[[#This Row],[DateReceived]],"")</f>
        <v/>
      </c>
      <c r="P33" s="46">
        <f>IFERROR(INDEX(Settings!$B$6:$B$8,MATCH(tblReferrals[[#This Row],[PriorityLevel]],Settings!$A$6:$A$8,0)),"")</f>
        <v/>
      </c>
      <c r="Q3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4">
      <c r="A34" s="43" t="inlineStr">
        <is>
          <t>R033</t>
        </is>
      </c>
      <c r="B34" s="44" t="n">
        <v>46209</v>
      </c>
      <c r="C34" s="43" t="inlineStr">
        <is>
          <t>C1231</t>
        </is>
      </c>
      <c r="D34" s="43" t="inlineStr">
        <is>
          <t>Community agency</t>
        </is>
      </c>
      <c r="E34" s="43" t="inlineStr">
        <is>
          <t>Māori</t>
        </is>
      </c>
      <c r="F34" s="45" t="inlineStr">
        <is>
          <t>Routine</t>
        </is>
      </c>
      <c r="G34" s="45" t="inlineStr">
        <is>
          <t>Yes</t>
        </is>
      </c>
      <c r="H34" s="44" t="n">
        <v>46212</v>
      </c>
      <c r="I34" s="43" t="inlineStr">
        <is>
          <t>Phone</t>
        </is>
      </c>
      <c r="J34" s="43" t="inlineStr">
        <is>
          <t>Enrolled</t>
        </is>
      </c>
      <c r="K34" s="45" t="inlineStr">
        <is>
          <t>Yes</t>
        </is>
      </c>
      <c r="L34" s="44" t="n">
        <v>46225</v>
      </c>
      <c r="M34" s="45" t="inlineStr">
        <is>
          <t>Yes</t>
        </is>
      </c>
      <c r="N34" s="46">
        <f>IF(tblReferrals[[#This Row],[DateFirstContact]]="","",tblReferrals[[#This Row],[DateFirstContact]]-tblReferrals[[#This Row],[DateReceived]])</f>
        <v/>
      </c>
      <c r="O34" s="46">
        <f>IF(tblReferrals[[#This Row],[DateFirstContact]]="",Settings!$B$3-tblReferrals[[#This Row],[DateReceived]],"")</f>
        <v/>
      </c>
      <c r="P34" s="46">
        <f>IFERROR(INDEX(Settings!$B$6:$B$8,MATCH(tblReferrals[[#This Row],[PriorityLevel]],Settings!$A$6:$A$8,0)),"")</f>
        <v/>
      </c>
      <c r="Q3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5">
      <c r="A35" s="43" t="inlineStr">
        <is>
          <t>R034</t>
        </is>
      </c>
      <c r="B35" s="44" t="n">
        <v>46210</v>
      </c>
      <c r="C35" s="43" t="inlineStr">
        <is>
          <t>C1238</t>
        </is>
      </c>
      <c r="D35" s="43" t="inlineStr">
        <is>
          <t>GP</t>
        </is>
      </c>
      <c r="E35" s="43" t="inlineStr">
        <is>
          <t>European</t>
        </is>
      </c>
      <c r="F35" s="45" t="inlineStr">
        <is>
          <t>Routine</t>
        </is>
      </c>
      <c r="G35" s="45" t="inlineStr">
        <is>
          <t>Yes</t>
        </is>
      </c>
      <c r="H35" s="44" t="n">
        <v>46216</v>
      </c>
      <c r="I35" s="43" t="inlineStr">
        <is>
          <t>Text</t>
        </is>
      </c>
      <c r="J35" s="43" t="inlineStr">
        <is>
          <t>Enrolled</t>
        </is>
      </c>
      <c r="K35" s="45" t="inlineStr">
        <is>
          <t>Yes</t>
        </is>
      </c>
      <c r="L35" s="44" t="n">
        <v>46227</v>
      </c>
      <c r="M35" s="45" t="inlineStr">
        <is>
          <t>No</t>
        </is>
      </c>
      <c r="N35" s="46">
        <f>IF(tblReferrals[[#This Row],[DateFirstContact]]="","",tblReferrals[[#This Row],[DateFirstContact]]-tblReferrals[[#This Row],[DateReceived]])</f>
        <v/>
      </c>
      <c r="O35" s="46">
        <f>IF(tblReferrals[[#This Row],[DateFirstContact]]="",Settings!$B$3-tblReferrals[[#This Row],[DateReceived]],"")</f>
        <v/>
      </c>
      <c r="P35" s="46">
        <f>IFERROR(INDEX(Settings!$B$6:$B$8,MATCH(tblReferrals[[#This Row],[PriorityLevel]],Settings!$A$6:$A$8,0)),"")</f>
        <v/>
      </c>
      <c r="Q3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6">
      <c r="A36" s="43" t="inlineStr">
        <is>
          <t>R035</t>
        </is>
      </c>
      <c r="B36" s="44" t="n">
        <v>46211</v>
      </c>
      <c r="C36" s="43" t="inlineStr">
        <is>
          <t>C1014</t>
        </is>
      </c>
      <c r="D36" s="43" t="inlineStr">
        <is>
          <t>Midwife</t>
        </is>
      </c>
      <c r="E36" s="43" t="inlineStr">
        <is>
          <t>European</t>
        </is>
      </c>
      <c r="F36" s="45" t="inlineStr">
        <is>
          <t>High</t>
        </is>
      </c>
      <c r="G36" s="45" t="inlineStr">
        <is>
          <t>Yes</t>
        </is>
      </c>
      <c r="H36" s="44" t="n">
        <v>46219</v>
      </c>
      <c r="I36" s="43" t="inlineStr">
        <is>
          <t>Email</t>
        </is>
      </c>
      <c r="J36" s="43" t="inlineStr">
        <is>
          <t>Unable to contact</t>
        </is>
      </c>
      <c r="K36" s="45" t="inlineStr">
        <is>
          <t>Pending</t>
        </is>
      </c>
      <c r="L36" s="44" t="n"/>
      <c r="M36" s="45" t="inlineStr">
        <is>
          <t>No</t>
        </is>
      </c>
      <c r="N36" s="46">
        <f>IF(tblReferrals[[#This Row],[DateFirstContact]]="","",tblReferrals[[#This Row],[DateFirstContact]]-tblReferrals[[#This Row],[DateReceived]])</f>
        <v/>
      </c>
      <c r="O36" s="46">
        <f>IF(tblReferrals[[#This Row],[DateFirstContact]]="",Settings!$B$3-tblReferrals[[#This Row],[DateReceived]],"")</f>
        <v/>
      </c>
      <c r="P36" s="46">
        <f>IFERROR(INDEX(Settings!$B$6:$B$8,MATCH(tblReferrals[[#This Row],[PriorityLevel]],Settings!$A$6:$A$8,0)),"")</f>
        <v/>
      </c>
      <c r="Q3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7">
      <c r="A37" s="43" t="inlineStr">
        <is>
          <t>R036</t>
        </is>
      </c>
      <c r="B37" s="44" t="n">
        <v>46211</v>
      </c>
      <c r="C37" s="43" t="inlineStr">
        <is>
          <t>C1252</t>
        </is>
      </c>
      <c r="D37" s="43" t="inlineStr">
        <is>
          <t>Other health provider</t>
        </is>
      </c>
      <c r="E37" s="43" t="inlineStr">
        <is>
          <t>Asian</t>
        </is>
      </c>
      <c r="F37" s="45" t="inlineStr">
        <is>
          <t>Urgent</t>
        </is>
      </c>
      <c r="G37" s="45" t="inlineStr">
        <is>
          <t>No</t>
        </is>
      </c>
      <c r="H37" s="44" t="n">
        <v>46213</v>
      </c>
      <c r="I37" s="43" t="inlineStr">
        <is>
          <t>Email</t>
        </is>
      </c>
      <c r="J37" s="43" t="inlineStr">
        <is>
          <t>Awaiting info</t>
        </is>
      </c>
      <c r="K37" s="45" t="inlineStr">
        <is>
          <t>Pending</t>
        </is>
      </c>
      <c r="L37" s="44" t="n"/>
      <c r="M37" s="45" t="inlineStr">
        <is>
          <t>No</t>
        </is>
      </c>
      <c r="N37" s="46">
        <f>IF(tblReferrals[[#This Row],[DateFirstContact]]="","",tblReferrals[[#This Row],[DateFirstContact]]-tblReferrals[[#This Row],[DateReceived]])</f>
        <v/>
      </c>
      <c r="O37" s="46">
        <f>IF(tblReferrals[[#This Row],[DateFirstContact]]="",Settings!$B$3-tblReferrals[[#This Row],[DateReceived]],"")</f>
        <v/>
      </c>
      <c r="P37" s="46">
        <f>IFERROR(INDEX(Settings!$B$6:$B$8,MATCH(tblReferrals[[#This Row],[PriorityLevel]],Settings!$A$6:$A$8,0)),"")</f>
        <v/>
      </c>
      <c r="Q3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8">
      <c r="A38" s="43" t="inlineStr">
        <is>
          <t>R037</t>
        </is>
      </c>
      <c r="B38" s="44" t="n">
        <v>46212</v>
      </c>
      <c r="C38" s="43" t="inlineStr">
        <is>
          <t>C1259</t>
        </is>
      </c>
      <c r="D38" s="43" t="inlineStr">
        <is>
          <t>Community agency</t>
        </is>
      </c>
      <c r="E38" s="43" t="inlineStr">
        <is>
          <t>Pacific</t>
        </is>
      </c>
      <c r="F38" s="45" t="inlineStr">
        <is>
          <t>Routine</t>
        </is>
      </c>
      <c r="G38" s="45" t="inlineStr">
        <is>
          <t>Yes</t>
        </is>
      </c>
      <c r="H38" s="44" t="n">
        <v>46219</v>
      </c>
      <c r="I38" s="43" t="inlineStr">
        <is>
          <t>Phone</t>
        </is>
      </c>
      <c r="J38" s="43" t="inlineStr">
        <is>
          <t>Contacted</t>
        </is>
      </c>
      <c r="K38" s="45" t="inlineStr">
        <is>
          <t>Pending</t>
        </is>
      </c>
      <c r="L38" s="44" t="n"/>
      <c r="M38" s="45" t="inlineStr">
        <is>
          <t>No</t>
        </is>
      </c>
      <c r="N38" s="46">
        <f>IF(tblReferrals[[#This Row],[DateFirstContact]]="","",tblReferrals[[#This Row],[DateFirstContact]]-tblReferrals[[#This Row],[DateReceived]])</f>
        <v/>
      </c>
      <c r="O38" s="46">
        <f>IF(tblReferrals[[#This Row],[DateFirstContact]]="",Settings!$B$3-tblReferrals[[#This Row],[DateReceived]],"")</f>
        <v/>
      </c>
      <c r="P38" s="46">
        <f>IFERROR(INDEX(Settings!$B$6:$B$8,MATCH(tblReferrals[[#This Row],[PriorityLevel]],Settings!$A$6:$A$8,0)),"")</f>
        <v/>
      </c>
      <c r="Q3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39">
      <c r="A39" s="43" t="inlineStr">
        <is>
          <t>R038</t>
        </is>
      </c>
      <c r="B39" s="44" t="n">
        <v>46213</v>
      </c>
      <c r="C39" s="43" t="inlineStr">
        <is>
          <t>C1266</t>
        </is>
      </c>
      <c r="D39" s="43" t="inlineStr">
        <is>
          <t>Midwife</t>
        </is>
      </c>
      <c r="E39" s="43" t="inlineStr">
        <is>
          <t>Asian</t>
        </is>
      </c>
      <c r="F39" s="45" t="inlineStr">
        <is>
          <t>Routine</t>
        </is>
      </c>
      <c r="G39" s="45" t="inlineStr">
        <is>
          <t>Yes</t>
        </is>
      </c>
      <c r="H39" s="44" t="n">
        <v>46218</v>
      </c>
      <c r="I39" s="43" t="inlineStr">
        <is>
          <t>Phone</t>
        </is>
      </c>
      <c r="J39" s="43" t="inlineStr">
        <is>
          <t>Enrolled</t>
        </is>
      </c>
      <c r="K39" s="45" t="inlineStr">
        <is>
          <t>Yes</t>
        </is>
      </c>
      <c r="L39" s="44" t="n">
        <v>46225</v>
      </c>
      <c r="M39" s="45" t="inlineStr">
        <is>
          <t>No</t>
        </is>
      </c>
      <c r="N39" s="46">
        <f>IF(tblReferrals[[#This Row],[DateFirstContact]]="","",tblReferrals[[#This Row],[DateFirstContact]]-tblReferrals[[#This Row],[DateReceived]])</f>
        <v/>
      </c>
      <c r="O39" s="46">
        <f>IF(tblReferrals[[#This Row],[DateFirstContact]]="",Settings!$B$3-tblReferrals[[#This Row],[DateReceived]],"")</f>
        <v/>
      </c>
      <c r="P39" s="46">
        <f>IFERROR(INDEX(Settings!$B$6:$B$8,MATCH(tblReferrals[[#This Row],[PriorityLevel]],Settings!$A$6:$A$8,0)),"")</f>
        <v/>
      </c>
      <c r="Q3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3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0">
      <c r="A40" s="43" t="inlineStr">
        <is>
          <t>R039</t>
        </is>
      </c>
      <c r="B40" s="44" t="n">
        <v>46213</v>
      </c>
      <c r="C40" s="43" t="inlineStr">
        <is>
          <t>C1273</t>
        </is>
      </c>
      <c r="D40" s="43" t="inlineStr">
        <is>
          <t>Midwife</t>
        </is>
      </c>
      <c r="E40" s="43" t="inlineStr">
        <is>
          <t>Māori</t>
        </is>
      </c>
      <c r="F40" s="45" t="inlineStr">
        <is>
          <t>Routine</t>
        </is>
      </c>
      <c r="G40" s="45" t="inlineStr">
        <is>
          <t>Yes</t>
        </is>
      </c>
      <c r="H40" s="44" t="n">
        <v>46224</v>
      </c>
      <c r="I40" s="43" t="inlineStr">
        <is>
          <t>Phone</t>
        </is>
      </c>
      <c r="J40" s="43" t="inlineStr">
        <is>
          <t>Contacted</t>
        </is>
      </c>
      <c r="K40" s="45" t="inlineStr">
        <is>
          <t>Pending</t>
        </is>
      </c>
      <c r="L40" s="44" t="n">
        <v>46230</v>
      </c>
      <c r="M40" s="45" t="inlineStr">
        <is>
          <t>No</t>
        </is>
      </c>
      <c r="N40" s="46">
        <f>IF(tblReferrals[[#This Row],[DateFirstContact]]="","",tblReferrals[[#This Row],[DateFirstContact]]-tblReferrals[[#This Row],[DateReceived]])</f>
        <v/>
      </c>
      <c r="O40" s="46">
        <f>IF(tblReferrals[[#This Row],[DateFirstContact]]="",Settings!$B$3-tblReferrals[[#This Row],[DateReceived]],"")</f>
        <v/>
      </c>
      <c r="P40" s="46">
        <f>IFERROR(INDEX(Settings!$B$6:$B$8,MATCH(tblReferrals[[#This Row],[PriorityLevel]],Settings!$A$6:$A$8,0)),"")</f>
        <v/>
      </c>
      <c r="Q4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1">
      <c r="A41" s="43" t="inlineStr">
        <is>
          <t>R040</t>
        </is>
      </c>
      <c r="B41" s="44" t="n">
        <v>46213</v>
      </c>
      <c r="C41" s="43" t="inlineStr">
        <is>
          <t>C1280</t>
        </is>
      </c>
      <c r="D41" s="43" t="inlineStr">
        <is>
          <t>Community agency</t>
        </is>
      </c>
      <c r="E41" s="43" t="inlineStr">
        <is>
          <t>European</t>
        </is>
      </c>
      <c r="F41" s="45" t="inlineStr">
        <is>
          <t>Routine</t>
        </is>
      </c>
      <c r="G41" s="45" t="inlineStr">
        <is>
          <t>Yes</t>
        </is>
      </c>
      <c r="H41" s="44" t="n">
        <v>46227</v>
      </c>
      <c r="I41" s="43" t="inlineStr">
        <is>
          <t>Text</t>
        </is>
      </c>
      <c r="J41" s="43" t="inlineStr">
        <is>
          <t>Enrolled</t>
        </is>
      </c>
      <c r="K41" s="45" t="inlineStr">
        <is>
          <t>Yes</t>
        </is>
      </c>
      <c r="L41" s="44" t="n">
        <v>46239</v>
      </c>
      <c r="M41" s="45" t="inlineStr">
        <is>
          <t>No</t>
        </is>
      </c>
      <c r="N41" s="46">
        <f>IF(tblReferrals[[#This Row],[DateFirstContact]]="","",tblReferrals[[#This Row],[DateFirstContact]]-tblReferrals[[#This Row],[DateReceived]])</f>
        <v/>
      </c>
      <c r="O41" s="46">
        <f>IF(tblReferrals[[#This Row],[DateFirstContact]]="",Settings!$B$3-tblReferrals[[#This Row],[DateReceived]],"")</f>
        <v/>
      </c>
      <c r="P41" s="46">
        <f>IFERROR(INDEX(Settings!$B$6:$B$8,MATCH(tblReferrals[[#This Row],[PriorityLevel]],Settings!$A$6:$A$8,0)),"")</f>
        <v/>
      </c>
      <c r="Q4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2">
      <c r="A42" s="43" t="inlineStr">
        <is>
          <t>R041</t>
        </is>
      </c>
      <c r="B42" s="44" t="n">
        <v>46213</v>
      </c>
      <c r="C42" s="43" t="inlineStr">
        <is>
          <t>C1287</t>
        </is>
      </c>
      <c r="D42" s="43" t="inlineStr">
        <is>
          <t>GP</t>
        </is>
      </c>
      <c r="E42" s="43" t="inlineStr">
        <is>
          <t>European</t>
        </is>
      </c>
      <c r="F42" s="45" t="inlineStr">
        <is>
          <t>Routine</t>
        </is>
      </c>
      <c r="G42" s="45" t="inlineStr">
        <is>
          <t>Yes</t>
        </is>
      </c>
      <c r="H42" s="44" t="n">
        <v>46217</v>
      </c>
      <c r="I42" s="43" t="inlineStr">
        <is>
          <t>Phone</t>
        </is>
      </c>
      <c r="J42" s="43" t="inlineStr">
        <is>
          <t>Enrolled</t>
        </is>
      </c>
      <c r="K42" s="45" t="inlineStr">
        <is>
          <t>No</t>
        </is>
      </c>
      <c r="L42" s="44" t="n">
        <v>46230</v>
      </c>
      <c r="M42" s="45" t="inlineStr">
        <is>
          <t>No</t>
        </is>
      </c>
      <c r="N42" s="46">
        <f>IF(tblReferrals[[#This Row],[DateFirstContact]]="","",tblReferrals[[#This Row],[DateFirstContact]]-tblReferrals[[#This Row],[DateReceived]])</f>
        <v/>
      </c>
      <c r="O42" s="46">
        <f>IF(tblReferrals[[#This Row],[DateFirstContact]]="",Settings!$B$3-tblReferrals[[#This Row],[DateReceived]],"")</f>
        <v/>
      </c>
      <c r="P42" s="46">
        <f>IFERROR(INDEX(Settings!$B$6:$B$8,MATCH(tblReferrals[[#This Row],[PriorityLevel]],Settings!$A$6:$A$8,0)),"")</f>
        <v/>
      </c>
      <c r="Q4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3">
      <c r="A43" s="43" t="inlineStr">
        <is>
          <t>R042</t>
        </is>
      </c>
      <c r="B43" s="44" t="n">
        <v>46213</v>
      </c>
      <c r="C43" s="43" t="inlineStr">
        <is>
          <t>C1294</t>
        </is>
      </c>
      <c r="D43" s="43" t="inlineStr">
        <is>
          <t>Midwife</t>
        </is>
      </c>
      <c r="E43" s="43" t="inlineStr">
        <is>
          <t>European</t>
        </is>
      </c>
      <c r="F43" s="45" t="inlineStr">
        <is>
          <t>Routine</t>
        </is>
      </c>
      <c r="G43" s="45" t="inlineStr">
        <is>
          <t>Yes</t>
        </is>
      </c>
      <c r="H43" s="44" t="n">
        <v>46225</v>
      </c>
      <c r="I43" s="43" t="inlineStr">
        <is>
          <t>Email</t>
        </is>
      </c>
      <c r="J43" s="43" t="inlineStr">
        <is>
          <t>Contacted</t>
        </is>
      </c>
      <c r="K43" s="45" t="inlineStr">
        <is>
          <t>Pending</t>
        </is>
      </c>
      <c r="L43" s="44" t="n"/>
      <c r="M43" s="45" t="inlineStr">
        <is>
          <t>No</t>
        </is>
      </c>
      <c r="N43" s="46">
        <f>IF(tblReferrals[[#This Row],[DateFirstContact]]="","",tblReferrals[[#This Row],[DateFirstContact]]-tblReferrals[[#This Row],[DateReceived]])</f>
        <v/>
      </c>
      <c r="O43" s="46">
        <f>IF(tblReferrals[[#This Row],[DateFirstContact]]="",Settings!$B$3-tblReferrals[[#This Row],[DateReceived]],"")</f>
        <v/>
      </c>
      <c r="P43" s="46">
        <f>IFERROR(INDEX(Settings!$B$6:$B$8,MATCH(tblReferrals[[#This Row],[PriorityLevel]],Settings!$A$6:$A$8,0)),"")</f>
        <v/>
      </c>
      <c r="Q4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4">
      <c r="A44" s="43" t="inlineStr">
        <is>
          <t>R043</t>
        </is>
      </c>
      <c r="B44" s="44" t="n">
        <v>46213</v>
      </c>
      <c r="C44" s="43" t="inlineStr">
        <is>
          <t>C1301</t>
        </is>
      </c>
      <c r="D44" s="43" t="inlineStr">
        <is>
          <t>Midwife</t>
        </is>
      </c>
      <c r="E44" s="43" t="inlineStr">
        <is>
          <t>Other</t>
        </is>
      </c>
      <c r="F44" s="45" t="inlineStr">
        <is>
          <t>High</t>
        </is>
      </c>
      <c r="G44" s="45" t="inlineStr">
        <is>
          <t>Yes</t>
        </is>
      </c>
      <c r="H44" s="44" t="n">
        <v>46223</v>
      </c>
      <c r="I44" s="43" t="inlineStr">
        <is>
          <t>Phone</t>
        </is>
      </c>
      <c r="J44" s="43" t="inlineStr">
        <is>
          <t>Enrolled</t>
        </is>
      </c>
      <c r="K44" s="45" t="inlineStr">
        <is>
          <t>Yes</t>
        </is>
      </c>
      <c r="L44" s="44" t="n">
        <v>46234</v>
      </c>
      <c r="M44" s="45" t="inlineStr">
        <is>
          <t>Yes</t>
        </is>
      </c>
      <c r="N44" s="46">
        <f>IF(tblReferrals[[#This Row],[DateFirstContact]]="","",tblReferrals[[#This Row],[DateFirstContact]]-tblReferrals[[#This Row],[DateReceived]])</f>
        <v/>
      </c>
      <c r="O44" s="46">
        <f>IF(tblReferrals[[#This Row],[DateFirstContact]]="",Settings!$B$3-tblReferrals[[#This Row],[DateReceived]],"")</f>
        <v/>
      </c>
      <c r="P44" s="46">
        <f>IFERROR(INDEX(Settings!$B$6:$B$8,MATCH(tblReferrals[[#This Row],[PriorityLevel]],Settings!$A$6:$A$8,0)),"")</f>
        <v/>
      </c>
      <c r="Q4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5">
      <c r="A45" s="43" t="inlineStr">
        <is>
          <t>R044</t>
        </is>
      </c>
      <c r="B45" s="44" t="n">
        <v>46216</v>
      </c>
      <c r="C45" s="43" t="inlineStr">
        <is>
          <t>C1308</t>
        </is>
      </c>
      <c r="D45" s="43" t="inlineStr">
        <is>
          <t>GP</t>
        </is>
      </c>
      <c r="E45" s="43" t="inlineStr">
        <is>
          <t>Māori</t>
        </is>
      </c>
      <c r="F45" s="45" t="inlineStr">
        <is>
          <t>Routine</t>
        </is>
      </c>
      <c r="G45" s="45" t="inlineStr">
        <is>
          <t>Yes</t>
        </is>
      </c>
      <c r="H45" s="44" t="n">
        <v>46224</v>
      </c>
      <c r="I45" s="43" t="inlineStr">
        <is>
          <t>Email</t>
        </is>
      </c>
      <c r="J45" s="43" t="inlineStr">
        <is>
          <t>Unable to contact</t>
        </is>
      </c>
      <c r="K45" s="45" t="inlineStr">
        <is>
          <t>Pending</t>
        </is>
      </c>
      <c r="L45" s="44" t="n"/>
      <c r="M45" s="45" t="inlineStr">
        <is>
          <t>No</t>
        </is>
      </c>
      <c r="N45" s="46">
        <f>IF(tblReferrals[[#This Row],[DateFirstContact]]="","",tblReferrals[[#This Row],[DateFirstContact]]-tblReferrals[[#This Row],[DateReceived]])</f>
        <v/>
      </c>
      <c r="O45" s="46">
        <f>IF(tblReferrals[[#This Row],[DateFirstContact]]="",Settings!$B$3-tblReferrals[[#This Row],[DateReceived]],"")</f>
        <v/>
      </c>
      <c r="P45" s="46">
        <f>IFERROR(INDEX(Settings!$B$6:$B$8,MATCH(tblReferrals[[#This Row],[PriorityLevel]],Settings!$A$6:$A$8,0)),"")</f>
        <v/>
      </c>
      <c r="Q4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6">
      <c r="A46" s="43" t="inlineStr">
        <is>
          <t>R045</t>
        </is>
      </c>
      <c r="B46" s="44" t="n">
        <v>46216</v>
      </c>
      <c r="C46" s="43" t="inlineStr">
        <is>
          <t>C1315</t>
        </is>
      </c>
      <c r="D46" s="43" t="inlineStr">
        <is>
          <t>Hospital</t>
        </is>
      </c>
      <c r="E46" s="43" t="inlineStr">
        <is>
          <t>Māori</t>
        </is>
      </c>
      <c r="F46" s="45" t="inlineStr">
        <is>
          <t>Routine</t>
        </is>
      </c>
      <c r="G46" s="45" t="inlineStr">
        <is>
          <t>No</t>
        </is>
      </c>
      <c r="H46" s="44" t="n">
        <v>46225</v>
      </c>
      <c r="I46" s="43" t="inlineStr">
        <is>
          <t>Text</t>
        </is>
      </c>
      <c r="J46" s="43" t="inlineStr">
        <is>
          <t>Awaiting info</t>
        </is>
      </c>
      <c r="K46" s="45" t="inlineStr">
        <is>
          <t>Pending</t>
        </is>
      </c>
      <c r="L46" s="44" t="n"/>
      <c r="M46" s="45" t="inlineStr">
        <is>
          <t>No</t>
        </is>
      </c>
      <c r="N46" s="46">
        <f>IF(tblReferrals[[#This Row],[DateFirstContact]]="","",tblReferrals[[#This Row],[DateFirstContact]]-tblReferrals[[#This Row],[DateReceived]])</f>
        <v/>
      </c>
      <c r="O46" s="46">
        <f>IF(tblReferrals[[#This Row],[DateFirstContact]]="",Settings!$B$3-tblReferrals[[#This Row],[DateReceived]],"")</f>
        <v/>
      </c>
      <c r="P46" s="46">
        <f>IFERROR(INDEX(Settings!$B$6:$B$8,MATCH(tblReferrals[[#This Row],[PriorityLevel]],Settings!$A$6:$A$8,0)),"")</f>
        <v/>
      </c>
      <c r="Q4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7">
      <c r="A47" s="43" t="inlineStr">
        <is>
          <t>R046</t>
        </is>
      </c>
      <c r="B47" s="44" t="n">
        <v>46217</v>
      </c>
      <c r="C47" s="43" t="inlineStr">
        <is>
          <t>C1322</t>
        </is>
      </c>
      <c r="D47" s="43" t="inlineStr">
        <is>
          <t>Other health provider</t>
        </is>
      </c>
      <c r="E47" s="43" t="inlineStr">
        <is>
          <t>Māori</t>
        </is>
      </c>
      <c r="F47" s="45" t="inlineStr">
        <is>
          <t>High</t>
        </is>
      </c>
      <c r="G47" s="45" t="inlineStr">
        <is>
          <t>Yes</t>
        </is>
      </c>
      <c r="H47" s="44" t="n">
        <v>46218</v>
      </c>
      <c r="I47" s="43" t="inlineStr">
        <is>
          <t>Phone</t>
        </is>
      </c>
      <c r="J47" s="43" t="inlineStr">
        <is>
          <t>Enrolled</t>
        </is>
      </c>
      <c r="K47" s="45" t="inlineStr">
        <is>
          <t>Yes</t>
        </is>
      </c>
      <c r="L47" s="44" t="n">
        <v>46225</v>
      </c>
      <c r="M47" s="45" t="inlineStr">
        <is>
          <t>No</t>
        </is>
      </c>
      <c r="N47" s="46">
        <f>IF(tblReferrals[[#This Row],[DateFirstContact]]="","",tblReferrals[[#This Row],[DateFirstContact]]-tblReferrals[[#This Row],[DateReceived]])</f>
        <v/>
      </c>
      <c r="O47" s="46">
        <f>IF(tblReferrals[[#This Row],[DateFirstContact]]="",Settings!$B$3-tblReferrals[[#This Row],[DateReceived]],"")</f>
        <v/>
      </c>
      <c r="P47" s="46">
        <f>IFERROR(INDEX(Settings!$B$6:$B$8,MATCH(tblReferrals[[#This Row],[PriorityLevel]],Settings!$A$6:$A$8,0)),"")</f>
        <v/>
      </c>
      <c r="Q4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8">
      <c r="A48" s="43" t="inlineStr">
        <is>
          <t>R047</t>
        </is>
      </c>
      <c r="B48" s="44" t="n">
        <v>46217</v>
      </c>
      <c r="C48" s="43" t="inlineStr">
        <is>
          <t>C1329</t>
        </is>
      </c>
      <c r="D48" s="43" t="inlineStr">
        <is>
          <t>Other health provider</t>
        </is>
      </c>
      <c r="E48" s="43" t="inlineStr">
        <is>
          <t>Pacific</t>
        </is>
      </c>
      <c r="F48" s="45" t="inlineStr">
        <is>
          <t>Urgent</t>
        </is>
      </c>
      <c r="G48" s="45" t="inlineStr">
        <is>
          <t>Yes</t>
        </is>
      </c>
      <c r="H48" s="44" t="n">
        <v>46218</v>
      </c>
      <c r="I48" s="43" t="inlineStr">
        <is>
          <t>In person</t>
        </is>
      </c>
      <c r="J48" s="43" t="inlineStr">
        <is>
          <t>Declined</t>
        </is>
      </c>
      <c r="K48" s="45" t="inlineStr">
        <is>
          <t>No</t>
        </is>
      </c>
      <c r="L48" s="44" t="n"/>
      <c r="M48" s="45" t="inlineStr">
        <is>
          <t>Yes</t>
        </is>
      </c>
      <c r="N48" s="46">
        <f>IF(tblReferrals[[#This Row],[DateFirstContact]]="","",tblReferrals[[#This Row],[DateFirstContact]]-tblReferrals[[#This Row],[DateReceived]])</f>
        <v/>
      </c>
      <c r="O48" s="46">
        <f>IF(tblReferrals[[#This Row],[DateFirstContact]]="",Settings!$B$3-tblReferrals[[#This Row],[DateReceived]],"")</f>
        <v/>
      </c>
      <c r="P48" s="46">
        <f>IFERROR(INDEX(Settings!$B$6:$B$8,MATCH(tblReferrals[[#This Row],[PriorityLevel]],Settings!$A$6:$A$8,0)),"")</f>
        <v/>
      </c>
      <c r="Q4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49">
      <c r="A49" s="43" t="inlineStr">
        <is>
          <t>R048</t>
        </is>
      </c>
      <c r="B49" s="44" t="n">
        <v>46217</v>
      </c>
      <c r="C49" s="43" t="inlineStr">
        <is>
          <t>C1336</t>
        </is>
      </c>
      <c r="D49" s="43" t="inlineStr">
        <is>
          <t>GP</t>
        </is>
      </c>
      <c r="E49" s="43" t="inlineStr">
        <is>
          <t>Asian</t>
        </is>
      </c>
      <c r="F49" s="45" t="inlineStr">
        <is>
          <t>Routine</t>
        </is>
      </c>
      <c r="G49" s="45" t="inlineStr">
        <is>
          <t>Yes</t>
        </is>
      </c>
      <c r="H49" s="44" t="n">
        <v>46225</v>
      </c>
      <c r="I49" s="43" t="inlineStr">
        <is>
          <t>Email</t>
        </is>
      </c>
      <c r="J49" s="43" t="inlineStr">
        <is>
          <t>Declined</t>
        </is>
      </c>
      <c r="K49" s="45" t="inlineStr">
        <is>
          <t>No</t>
        </is>
      </c>
      <c r="L49" s="44" t="n"/>
      <c r="M49" s="45" t="inlineStr">
        <is>
          <t>No</t>
        </is>
      </c>
      <c r="N49" s="46">
        <f>IF(tblReferrals[[#This Row],[DateFirstContact]]="","",tblReferrals[[#This Row],[DateFirstContact]]-tblReferrals[[#This Row],[DateReceived]])</f>
        <v/>
      </c>
      <c r="O49" s="46">
        <f>IF(tblReferrals[[#This Row],[DateFirstContact]]="",Settings!$B$3-tblReferrals[[#This Row],[DateReceived]],"")</f>
        <v/>
      </c>
      <c r="P49" s="46">
        <f>IFERROR(INDEX(Settings!$B$6:$B$8,MATCH(tblReferrals[[#This Row],[PriorityLevel]],Settings!$A$6:$A$8,0)),"")</f>
        <v/>
      </c>
      <c r="Q4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4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0">
      <c r="A50" s="43" t="inlineStr">
        <is>
          <t>R049</t>
        </is>
      </c>
      <c r="B50" s="44" t="n">
        <v>46217</v>
      </c>
      <c r="C50" s="43" t="inlineStr">
        <is>
          <t>C1343</t>
        </is>
      </c>
      <c r="D50" s="43" t="inlineStr">
        <is>
          <t>Midwife</t>
        </is>
      </c>
      <c r="E50" s="43" t="inlineStr">
        <is>
          <t>European</t>
        </is>
      </c>
      <c r="F50" s="45" t="inlineStr">
        <is>
          <t>Routine</t>
        </is>
      </c>
      <c r="G50" s="45" t="inlineStr">
        <is>
          <t>Yes</t>
        </is>
      </c>
      <c r="H50" s="44" t="n">
        <v>46215</v>
      </c>
      <c r="I50" s="43" t="inlineStr">
        <is>
          <t>Email</t>
        </is>
      </c>
      <c r="J50" s="43" t="inlineStr">
        <is>
          <t>Contacted</t>
        </is>
      </c>
      <c r="K50" s="45" t="inlineStr">
        <is>
          <t>Pending</t>
        </is>
      </c>
      <c r="L50" s="44" t="n"/>
      <c r="M50" s="45" t="inlineStr">
        <is>
          <t>No</t>
        </is>
      </c>
      <c r="N50" s="46">
        <f>IF(tblReferrals[[#This Row],[DateFirstContact]]="","",tblReferrals[[#This Row],[DateFirstContact]]-tblReferrals[[#This Row],[DateReceived]])</f>
        <v/>
      </c>
      <c r="O50" s="46">
        <f>IF(tblReferrals[[#This Row],[DateFirstContact]]="",Settings!$B$3-tblReferrals[[#This Row],[DateReceived]],"")</f>
        <v/>
      </c>
      <c r="P50" s="46">
        <f>IFERROR(INDEX(Settings!$B$6:$B$8,MATCH(tblReferrals[[#This Row],[PriorityLevel]],Settings!$A$6:$A$8,0)),"")</f>
        <v/>
      </c>
      <c r="Q5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1">
      <c r="A51" s="43" t="inlineStr">
        <is>
          <t>R050</t>
        </is>
      </c>
      <c r="B51" s="44" t="n">
        <v>46217</v>
      </c>
      <c r="C51" s="43" t="inlineStr">
        <is>
          <t>C1350</t>
        </is>
      </c>
      <c r="D51" s="43" t="inlineStr">
        <is>
          <t>Midwife</t>
        </is>
      </c>
      <c r="E51" s="43" t="inlineStr">
        <is>
          <t>European</t>
        </is>
      </c>
      <c r="F51" s="45" t="inlineStr">
        <is>
          <t>Urgent</t>
        </is>
      </c>
      <c r="G51" s="45" t="inlineStr">
        <is>
          <t>Yes</t>
        </is>
      </c>
      <c r="H51" s="44" t="n">
        <v>46218</v>
      </c>
      <c r="I51" s="43" t="inlineStr">
        <is>
          <t>Phone</t>
        </is>
      </c>
      <c r="J51" s="43" t="inlineStr">
        <is>
          <t>Enrolled</t>
        </is>
      </c>
      <c r="K51" s="45" t="inlineStr">
        <is>
          <t>Yes</t>
        </is>
      </c>
      <c r="L51" s="44" t="n">
        <v>46232</v>
      </c>
      <c r="M51" s="45" t="inlineStr">
        <is>
          <t>Yes</t>
        </is>
      </c>
      <c r="N51" s="46">
        <f>IF(tblReferrals[[#This Row],[DateFirstContact]]="","",tblReferrals[[#This Row],[DateFirstContact]]-tblReferrals[[#This Row],[DateReceived]])</f>
        <v/>
      </c>
      <c r="O51" s="46">
        <f>IF(tblReferrals[[#This Row],[DateFirstContact]]="",Settings!$B$3-tblReferrals[[#This Row],[DateReceived]],"")</f>
        <v/>
      </c>
      <c r="P51" s="46">
        <f>IFERROR(INDEX(Settings!$B$6:$B$8,MATCH(tblReferrals[[#This Row],[PriorityLevel]],Settings!$A$6:$A$8,0)),"")</f>
        <v/>
      </c>
      <c r="Q5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2">
      <c r="A52" s="43" t="inlineStr">
        <is>
          <t>R051</t>
        </is>
      </c>
      <c r="B52" s="44" t="n">
        <v>46217</v>
      </c>
      <c r="C52" s="43" t="inlineStr">
        <is>
          <t>C1357</t>
        </is>
      </c>
      <c r="D52" s="43" t="inlineStr">
        <is>
          <t>Midwife</t>
        </is>
      </c>
      <c r="E52" s="43" t="inlineStr">
        <is>
          <t>European</t>
        </is>
      </c>
      <c r="F52" s="45" t="inlineStr">
        <is>
          <t>High</t>
        </is>
      </c>
      <c r="G52" s="45" t="inlineStr">
        <is>
          <t>Yes</t>
        </is>
      </c>
      <c r="H52" s="44" t="n">
        <v>46220</v>
      </c>
      <c r="I52" s="43" t="inlineStr">
        <is>
          <t>Phone</t>
        </is>
      </c>
      <c r="J52" s="43" t="inlineStr">
        <is>
          <t>Declined</t>
        </is>
      </c>
      <c r="K52" s="45" t="inlineStr">
        <is>
          <t>No</t>
        </is>
      </c>
      <c r="L52" s="44" t="n"/>
      <c r="M52" s="45" t="inlineStr">
        <is>
          <t>No</t>
        </is>
      </c>
      <c r="N52" s="46">
        <f>IF(tblReferrals[[#This Row],[DateFirstContact]]="","",tblReferrals[[#This Row],[DateFirstContact]]-tblReferrals[[#This Row],[DateReceived]])</f>
        <v/>
      </c>
      <c r="O52" s="46">
        <f>IF(tblReferrals[[#This Row],[DateFirstContact]]="",Settings!$B$3-tblReferrals[[#This Row],[DateReceived]],"")</f>
        <v/>
      </c>
      <c r="P52" s="46">
        <f>IFERROR(INDEX(Settings!$B$6:$B$8,MATCH(tblReferrals[[#This Row],[PriorityLevel]],Settings!$A$6:$A$8,0)),"")</f>
        <v/>
      </c>
      <c r="Q5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3">
      <c r="A53" s="43" t="inlineStr">
        <is>
          <t>R052</t>
        </is>
      </c>
      <c r="B53" s="44" t="n">
        <v>46217</v>
      </c>
      <c r="C53" s="43" t="inlineStr">
        <is>
          <t>C1364</t>
        </is>
      </c>
      <c r="D53" s="43" t="inlineStr">
        <is>
          <t>Midwife</t>
        </is>
      </c>
      <c r="E53" s="43" t="inlineStr">
        <is>
          <t>European</t>
        </is>
      </c>
      <c r="F53" s="45" t="n"/>
      <c r="G53" s="45" t="inlineStr">
        <is>
          <t>Yes</t>
        </is>
      </c>
      <c r="H53" s="44" t="n">
        <v>46219</v>
      </c>
      <c r="I53" s="43" t="inlineStr">
        <is>
          <t>Phone</t>
        </is>
      </c>
      <c r="J53" s="43" t="inlineStr">
        <is>
          <t>Contacted</t>
        </is>
      </c>
      <c r="K53" s="45" t="inlineStr">
        <is>
          <t>Pending</t>
        </is>
      </c>
      <c r="L53" s="44" t="n"/>
      <c r="M53" s="45" t="inlineStr">
        <is>
          <t>No</t>
        </is>
      </c>
      <c r="N53" s="46">
        <f>IF(tblReferrals[[#This Row],[DateFirstContact]]="","",tblReferrals[[#This Row],[DateFirstContact]]-tblReferrals[[#This Row],[DateReceived]])</f>
        <v/>
      </c>
      <c r="O53" s="46">
        <f>IF(tblReferrals[[#This Row],[DateFirstContact]]="",Settings!$B$3-tblReferrals[[#This Row],[DateReceived]],"")</f>
        <v/>
      </c>
      <c r="P53" s="46">
        <f>IFERROR(INDEX(Settings!$B$6:$B$8,MATCH(tblReferrals[[#This Row],[PriorityLevel]],Settings!$A$6:$A$8,0)),"")</f>
        <v/>
      </c>
      <c r="Q5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4">
      <c r="A54" s="43" t="inlineStr">
        <is>
          <t>R053</t>
        </is>
      </c>
      <c r="B54" s="44" t="n">
        <v>46218</v>
      </c>
      <c r="C54" s="43" t="inlineStr">
        <is>
          <t>C1371</t>
        </is>
      </c>
      <c r="D54" s="43" t="inlineStr">
        <is>
          <t>Self-referral</t>
        </is>
      </c>
      <c r="E54" s="43" t="inlineStr">
        <is>
          <t>Pacific</t>
        </is>
      </c>
      <c r="F54" s="45" t="inlineStr">
        <is>
          <t>Routine</t>
        </is>
      </c>
      <c r="G54" s="45" t="inlineStr">
        <is>
          <t>Yes</t>
        </is>
      </c>
      <c r="H54" s="44" t="n">
        <v>46225</v>
      </c>
      <c r="I54" s="43" t="inlineStr">
        <is>
          <t>Phone</t>
        </is>
      </c>
      <c r="J54" s="43" t="inlineStr">
        <is>
          <t>Enrolled</t>
        </is>
      </c>
      <c r="K54" s="45" t="inlineStr">
        <is>
          <t>Yes</t>
        </is>
      </c>
      <c r="L54" s="44" t="n">
        <v>46232</v>
      </c>
      <c r="M54" s="45" t="inlineStr">
        <is>
          <t>No</t>
        </is>
      </c>
      <c r="N54" s="46">
        <f>IF(tblReferrals[[#This Row],[DateFirstContact]]="","",tblReferrals[[#This Row],[DateFirstContact]]-tblReferrals[[#This Row],[DateReceived]])</f>
        <v/>
      </c>
      <c r="O54" s="46">
        <f>IF(tblReferrals[[#This Row],[DateFirstContact]]="",Settings!$B$3-tblReferrals[[#This Row],[DateReceived]],"")</f>
        <v/>
      </c>
      <c r="P54" s="46">
        <f>IFERROR(INDEX(Settings!$B$6:$B$8,MATCH(tblReferrals[[#This Row],[PriorityLevel]],Settings!$A$6:$A$8,0)),"")</f>
        <v/>
      </c>
      <c r="Q5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5">
      <c r="A55" s="43" t="inlineStr">
        <is>
          <t>R054</t>
        </is>
      </c>
      <c r="B55" s="44" t="n">
        <v>46218</v>
      </c>
      <c r="C55" s="43" t="inlineStr">
        <is>
          <t>C1378</t>
        </is>
      </c>
      <c r="D55" s="43" t="inlineStr">
        <is>
          <t>GP</t>
        </is>
      </c>
      <c r="E55" s="43" t="inlineStr">
        <is>
          <t>European</t>
        </is>
      </c>
      <c r="F55" s="45" t="inlineStr">
        <is>
          <t>Routine</t>
        </is>
      </c>
      <c r="G55" s="45" t="inlineStr">
        <is>
          <t>Yes</t>
        </is>
      </c>
      <c r="H55" s="44" t="n">
        <v>46223</v>
      </c>
      <c r="I55" s="43" t="inlineStr">
        <is>
          <t>Phone</t>
        </is>
      </c>
      <c r="J55" s="43" t="inlineStr">
        <is>
          <t>Enrolled</t>
        </is>
      </c>
      <c r="K55" s="45" t="inlineStr">
        <is>
          <t>Pending</t>
        </is>
      </c>
      <c r="L55" s="44" t="n">
        <v>46232</v>
      </c>
      <c r="M55" s="45" t="inlineStr">
        <is>
          <t>No</t>
        </is>
      </c>
      <c r="N55" s="46">
        <f>IF(tblReferrals[[#This Row],[DateFirstContact]]="","",tblReferrals[[#This Row],[DateFirstContact]]-tblReferrals[[#This Row],[DateReceived]])</f>
        <v/>
      </c>
      <c r="O55" s="46">
        <f>IF(tblReferrals[[#This Row],[DateFirstContact]]="",Settings!$B$3-tblReferrals[[#This Row],[DateReceived]],"")</f>
        <v/>
      </c>
      <c r="P55" s="46">
        <f>IFERROR(INDEX(Settings!$B$6:$B$8,MATCH(tblReferrals[[#This Row],[PriorityLevel]],Settings!$A$6:$A$8,0)),"")</f>
        <v/>
      </c>
      <c r="Q5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6">
      <c r="A56" s="43" t="inlineStr">
        <is>
          <t>R055</t>
        </is>
      </c>
      <c r="B56" s="44" t="n">
        <v>46218</v>
      </c>
      <c r="C56" s="43" t="inlineStr">
        <is>
          <t>C1385</t>
        </is>
      </c>
      <c r="D56" s="43" t="inlineStr">
        <is>
          <t>Self-referral</t>
        </is>
      </c>
      <c r="E56" s="43" t="inlineStr">
        <is>
          <t>European</t>
        </is>
      </c>
      <c r="F56" s="45" t="inlineStr">
        <is>
          <t>Routine</t>
        </is>
      </c>
      <c r="G56" s="45" t="inlineStr">
        <is>
          <t>No</t>
        </is>
      </c>
      <c r="H56" s="44" t="n">
        <v>46224</v>
      </c>
      <c r="I56" s="43" t="inlineStr">
        <is>
          <t>Text</t>
        </is>
      </c>
      <c r="J56" s="43" t="inlineStr">
        <is>
          <t>Unable to contact</t>
        </is>
      </c>
      <c r="K56" s="45" t="inlineStr">
        <is>
          <t>Pending</t>
        </is>
      </c>
      <c r="L56" s="44" t="n"/>
      <c r="M56" s="45" t="inlineStr">
        <is>
          <t>No</t>
        </is>
      </c>
      <c r="N56" s="46">
        <f>IF(tblReferrals[[#This Row],[DateFirstContact]]="","",tblReferrals[[#This Row],[DateFirstContact]]-tblReferrals[[#This Row],[DateReceived]])</f>
        <v/>
      </c>
      <c r="O56" s="46">
        <f>IF(tblReferrals[[#This Row],[DateFirstContact]]="",Settings!$B$3-tblReferrals[[#This Row],[DateReceived]],"")</f>
        <v/>
      </c>
      <c r="P56" s="46">
        <f>IFERROR(INDEX(Settings!$B$6:$B$8,MATCH(tblReferrals[[#This Row],[PriorityLevel]],Settings!$A$6:$A$8,0)),"")</f>
        <v/>
      </c>
      <c r="Q5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7">
      <c r="A57" s="43" t="inlineStr">
        <is>
          <t>R056</t>
        </is>
      </c>
      <c r="B57" s="44" t="n">
        <v>46218</v>
      </c>
      <c r="C57" s="43" t="inlineStr">
        <is>
          <t>C1392</t>
        </is>
      </c>
      <c r="D57" s="43" t="inlineStr">
        <is>
          <t>GP</t>
        </is>
      </c>
      <c r="E57" s="43" t="n"/>
      <c r="F57" s="45" t="inlineStr">
        <is>
          <t>Routine</t>
        </is>
      </c>
      <c r="G57" s="45" t="inlineStr">
        <is>
          <t>Yes</t>
        </is>
      </c>
      <c r="H57" s="44" t="n">
        <v>46225</v>
      </c>
      <c r="I57" s="43" t="inlineStr">
        <is>
          <t>Email</t>
        </is>
      </c>
      <c r="J57" s="43" t="inlineStr">
        <is>
          <t>Enrolled</t>
        </is>
      </c>
      <c r="K57" s="45" t="inlineStr">
        <is>
          <t>Yes</t>
        </is>
      </c>
      <c r="L57" s="44" t="n">
        <v>46238</v>
      </c>
      <c r="M57" s="45" t="inlineStr">
        <is>
          <t>No</t>
        </is>
      </c>
      <c r="N57" s="46">
        <f>IF(tblReferrals[[#This Row],[DateFirstContact]]="","",tblReferrals[[#This Row],[DateFirstContact]]-tblReferrals[[#This Row],[DateReceived]])</f>
        <v/>
      </c>
      <c r="O57" s="46">
        <f>IF(tblReferrals[[#This Row],[DateFirstContact]]="",Settings!$B$3-tblReferrals[[#This Row],[DateReceived]],"")</f>
        <v/>
      </c>
      <c r="P57" s="46">
        <f>IFERROR(INDEX(Settings!$B$6:$B$8,MATCH(tblReferrals[[#This Row],[PriorityLevel]],Settings!$A$6:$A$8,0)),"")</f>
        <v/>
      </c>
      <c r="Q5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8">
      <c r="A58" s="43" t="inlineStr">
        <is>
          <t>R057</t>
        </is>
      </c>
      <c r="B58" s="44" t="n">
        <v>46218</v>
      </c>
      <c r="C58" s="43" t="inlineStr">
        <is>
          <t>C1399</t>
        </is>
      </c>
      <c r="D58" s="43" t="inlineStr">
        <is>
          <t>Midwife</t>
        </is>
      </c>
      <c r="E58" s="43" t="inlineStr">
        <is>
          <t>Māori</t>
        </is>
      </c>
      <c r="F58" s="45" t="inlineStr">
        <is>
          <t>Routine</t>
        </is>
      </c>
      <c r="G58" s="45" t="inlineStr">
        <is>
          <t>Yes</t>
        </is>
      </c>
      <c r="H58" s="44" t="n">
        <v>46227</v>
      </c>
      <c r="I58" s="43" t="inlineStr">
        <is>
          <t>Phone</t>
        </is>
      </c>
      <c r="J58" s="43" t="inlineStr">
        <is>
          <t>Enrolled</t>
        </is>
      </c>
      <c r="K58" s="45" t="inlineStr">
        <is>
          <t>Yes</t>
        </is>
      </c>
      <c r="L58" s="44" t="n">
        <v>46238</v>
      </c>
      <c r="M58" s="45" t="inlineStr">
        <is>
          <t>No</t>
        </is>
      </c>
      <c r="N58" s="46">
        <f>IF(tblReferrals[[#This Row],[DateFirstContact]]="","",tblReferrals[[#This Row],[DateFirstContact]]-tblReferrals[[#This Row],[DateReceived]])</f>
        <v/>
      </c>
      <c r="O58" s="46">
        <f>IF(tblReferrals[[#This Row],[DateFirstContact]]="",Settings!$B$3-tblReferrals[[#This Row],[DateReceived]],"")</f>
        <v/>
      </c>
      <c r="P58" s="46">
        <f>IFERROR(INDEX(Settings!$B$6:$B$8,MATCH(tblReferrals[[#This Row],[PriorityLevel]],Settings!$A$6:$A$8,0)),"")</f>
        <v/>
      </c>
      <c r="Q5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59">
      <c r="A59" s="43" t="inlineStr">
        <is>
          <t>R058</t>
        </is>
      </c>
      <c r="B59" s="44" t="n">
        <v>46219</v>
      </c>
      <c r="C59" s="43" t="inlineStr">
        <is>
          <t>C1406</t>
        </is>
      </c>
      <c r="D59" s="43" t="inlineStr">
        <is>
          <t>Midwife</t>
        </is>
      </c>
      <c r="E59" s="43" t="inlineStr">
        <is>
          <t>Māori</t>
        </is>
      </c>
      <c r="F59" s="45" t="inlineStr">
        <is>
          <t>Routine</t>
        </is>
      </c>
      <c r="G59" s="45" t="inlineStr">
        <is>
          <t>Yes</t>
        </is>
      </c>
      <c r="H59" s="44" t="n">
        <v>46233</v>
      </c>
      <c r="I59" s="43" t="inlineStr">
        <is>
          <t>Phone</t>
        </is>
      </c>
      <c r="J59" s="43" t="inlineStr">
        <is>
          <t>Unable to contact</t>
        </is>
      </c>
      <c r="K59" s="45" t="inlineStr">
        <is>
          <t>Pending</t>
        </is>
      </c>
      <c r="L59" s="44" t="n"/>
      <c r="M59" s="45" t="inlineStr">
        <is>
          <t>No</t>
        </is>
      </c>
      <c r="N59" s="46">
        <f>IF(tblReferrals[[#This Row],[DateFirstContact]]="","",tblReferrals[[#This Row],[DateFirstContact]]-tblReferrals[[#This Row],[DateReceived]])</f>
        <v/>
      </c>
      <c r="O59" s="46">
        <f>IF(tblReferrals[[#This Row],[DateFirstContact]]="",Settings!$B$3-tblReferrals[[#This Row],[DateReceived]],"")</f>
        <v/>
      </c>
      <c r="P59" s="46">
        <f>IFERROR(INDEX(Settings!$B$6:$B$8,MATCH(tblReferrals[[#This Row],[PriorityLevel]],Settings!$A$6:$A$8,0)),"")</f>
        <v/>
      </c>
      <c r="Q5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5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0">
      <c r="A60" s="43" t="inlineStr">
        <is>
          <t>R059</t>
        </is>
      </c>
      <c r="B60" s="44" t="n">
        <v>46219</v>
      </c>
      <c r="C60" s="43" t="inlineStr">
        <is>
          <t>C1413</t>
        </is>
      </c>
      <c r="D60" s="43" t="inlineStr">
        <is>
          <t>Hospital</t>
        </is>
      </c>
      <c r="E60" s="43" t="inlineStr">
        <is>
          <t>Māori</t>
        </is>
      </c>
      <c r="F60" s="45" t="inlineStr">
        <is>
          <t>Routine</t>
        </is>
      </c>
      <c r="G60" s="45" t="inlineStr">
        <is>
          <t>No</t>
        </is>
      </c>
      <c r="H60" s="44" t="n">
        <v>46227</v>
      </c>
      <c r="I60" s="43" t="inlineStr">
        <is>
          <t>Phone</t>
        </is>
      </c>
      <c r="J60" s="43" t="inlineStr">
        <is>
          <t>Awaiting info</t>
        </is>
      </c>
      <c r="K60" s="45" t="inlineStr">
        <is>
          <t>Pending</t>
        </is>
      </c>
      <c r="L60" s="44" t="n"/>
      <c r="M60" s="45" t="inlineStr">
        <is>
          <t>No</t>
        </is>
      </c>
      <c r="N60" s="46">
        <f>IF(tblReferrals[[#This Row],[DateFirstContact]]="","",tblReferrals[[#This Row],[DateFirstContact]]-tblReferrals[[#This Row],[DateReceived]])</f>
        <v/>
      </c>
      <c r="O60" s="46">
        <f>IF(tblReferrals[[#This Row],[DateFirstContact]]="",Settings!$B$3-tblReferrals[[#This Row],[DateReceived]],"")</f>
        <v/>
      </c>
      <c r="P60" s="46">
        <f>IFERROR(INDEX(Settings!$B$6:$B$8,MATCH(tblReferrals[[#This Row],[PriorityLevel]],Settings!$A$6:$A$8,0)),"")</f>
        <v/>
      </c>
      <c r="Q6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1">
      <c r="A61" s="43" t="inlineStr">
        <is>
          <t>R060</t>
        </is>
      </c>
      <c r="B61" s="44" t="n">
        <v>46219</v>
      </c>
      <c r="C61" s="43" t="inlineStr">
        <is>
          <t>C1420</t>
        </is>
      </c>
      <c r="D61" s="43" t="inlineStr">
        <is>
          <t>Hospital</t>
        </is>
      </c>
      <c r="E61" s="43" t="n"/>
      <c r="F61" s="45" t="inlineStr">
        <is>
          <t>Routine</t>
        </is>
      </c>
      <c r="G61" s="45" t="inlineStr">
        <is>
          <t>Yes</t>
        </is>
      </c>
      <c r="H61" s="44" t="n">
        <v>46233</v>
      </c>
      <c r="I61" s="43" t="inlineStr">
        <is>
          <t>Phone</t>
        </is>
      </c>
      <c r="J61" s="43" t="inlineStr">
        <is>
          <t>Contacted</t>
        </is>
      </c>
      <c r="K61" s="45" t="inlineStr">
        <is>
          <t>Pending</t>
        </is>
      </c>
      <c r="L61" s="44" t="n"/>
      <c r="M61" s="45" t="inlineStr">
        <is>
          <t>No</t>
        </is>
      </c>
      <c r="N61" s="46">
        <f>IF(tblReferrals[[#This Row],[DateFirstContact]]="","",tblReferrals[[#This Row],[DateFirstContact]]-tblReferrals[[#This Row],[DateReceived]])</f>
        <v/>
      </c>
      <c r="O61" s="46">
        <f>IF(tblReferrals[[#This Row],[DateFirstContact]]="",Settings!$B$3-tblReferrals[[#This Row],[DateReceived]],"")</f>
        <v/>
      </c>
      <c r="P61" s="46">
        <f>IFERROR(INDEX(Settings!$B$6:$B$8,MATCH(tblReferrals[[#This Row],[PriorityLevel]],Settings!$A$6:$A$8,0)),"")</f>
        <v/>
      </c>
      <c r="Q6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2">
      <c r="A62" s="43" t="inlineStr">
        <is>
          <t>R061</t>
        </is>
      </c>
      <c r="B62" s="44" t="n">
        <v>46219</v>
      </c>
      <c r="C62" s="43" t="inlineStr">
        <is>
          <t>C1427</t>
        </is>
      </c>
      <c r="D62" s="43" t="inlineStr">
        <is>
          <t>Midwife</t>
        </is>
      </c>
      <c r="E62" s="43" t="inlineStr">
        <is>
          <t>European</t>
        </is>
      </c>
      <c r="F62" s="45" t="inlineStr">
        <is>
          <t>Routine</t>
        </is>
      </c>
      <c r="G62" s="45" t="inlineStr">
        <is>
          <t>No</t>
        </is>
      </c>
      <c r="H62" s="44" t="n">
        <v>46226</v>
      </c>
      <c r="I62" s="43" t="inlineStr">
        <is>
          <t>Email</t>
        </is>
      </c>
      <c r="J62" s="43" t="inlineStr">
        <is>
          <t>Awaiting info</t>
        </is>
      </c>
      <c r="K62" s="45" t="inlineStr">
        <is>
          <t>Pending</t>
        </is>
      </c>
      <c r="L62" s="44" t="n"/>
      <c r="M62" s="45" t="inlineStr">
        <is>
          <t>No</t>
        </is>
      </c>
      <c r="N62" s="46">
        <f>IF(tblReferrals[[#This Row],[DateFirstContact]]="","",tblReferrals[[#This Row],[DateFirstContact]]-tblReferrals[[#This Row],[DateReceived]])</f>
        <v/>
      </c>
      <c r="O62" s="46">
        <f>IF(tblReferrals[[#This Row],[DateFirstContact]]="",Settings!$B$3-tblReferrals[[#This Row],[DateReceived]],"")</f>
        <v/>
      </c>
      <c r="P62" s="46">
        <f>IFERROR(INDEX(Settings!$B$6:$B$8,MATCH(tblReferrals[[#This Row],[PriorityLevel]],Settings!$A$6:$A$8,0)),"")</f>
        <v/>
      </c>
      <c r="Q6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3">
      <c r="A63" s="43" t="inlineStr">
        <is>
          <t>R062</t>
        </is>
      </c>
      <c r="B63" s="44" t="n">
        <v>46219</v>
      </c>
      <c r="C63" s="43" t="inlineStr">
        <is>
          <t>C1434</t>
        </is>
      </c>
      <c r="D63" s="43" t="inlineStr">
        <is>
          <t>Midwife</t>
        </is>
      </c>
      <c r="E63" s="43" t="inlineStr">
        <is>
          <t>Asian</t>
        </is>
      </c>
      <c r="F63" s="45" t="inlineStr">
        <is>
          <t>Routine</t>
        </is>
      </c>
      <c r="G63" s="45" t="inlineStr">
        <is>
          <t>Yes</t>
        </is>
      </c>
      <c r="H63" s="44" t="n">
        <v>46227</v>
      </c>
      <c r="I63" s="43" t="inlineStr">
        <is>
          <t>Text</t>
        </is>
      </c>
      <c r="J63" s="43" t="inlineStr">
        <is>
          <t>Declined</t>
        </is>
      </c>
      <c r="K63" s="45" t="inlineStr">
        <is>
          <t>No</t>
        </is>
      </c>
      <c r="L63" s="44" t="n"/>
      <c r="M63" s="45" t="inlineStr">
        <is>
          <t>No</t>
        </is>
      </c>
      <c r="N63" s="46">
        <f>IF(tblReferrals[[#This Row],[DateFirstContact]]="","",tblReferrals[[#This Row],[DateFirstContact]]-tblReferrals[[#This Row],[DateReceived]])</f>
        <v/>
      </c>
      <c r="O63" s="46">
        <f>IF(tblReferrals[[#This Row],[DateFirstContact]]="",Settings!$B$3-tblReferrals[[#This Row],[DateReceived]],"")</f>
        <v/>
      </c>
      <c r="P63" s="46">
        <f>IFERROR(INDEX(Settings!$B$6:$B$8,MATCH(tblReferrals[[#This Row],[PriorityLevel]],Settings!$A$6:$A$8,0)),"")</f>
        <v/>
      </c>
      <c r="Q6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4">
      <c r="A64" s="43" t="inlineStr">
        <is>
          <t>R063</t>
        </is>
      </c>
      <c r="B64" s="44" t="n">
        <v>46219</v>
      </c>
      <c r="C64" s="43" t="inlineStr">
        <is>
          <t>C1441</t>
        </is>
      </c>
      <c r="D64" s="43" t="inlineStr">
        <is>
          <t>GP</t>
        </is>
      </c>
      <c r="E64" s="43" t="inlineStr">
        <is>
          <t>European</t>
        </is>
      </c>
      <c r="F64" s="45" t="inlineStr">
        <is>
          <t>Urgent</t>
        </is>
      </c>
      <c r="G64" s="45" t="inlineStr">
        <is>
          <t>Yes</t>
        </is>
      </c>
      <c r="H64" s="44" t="n">
        <v>46219</v>
      </c>
      <c r="I64" s="43" t="inlineStr">
        <is>
          <t>Phone</t>
        </is>
      </c>
      <c r="J64" s="43" t="inlineStr">
        <is>
          <t>Enrolled</t>
        </is>
      </c>
      <c r="K64" s="45" t="inlineStr">
        <is>
          <t>Pending</t>
        </is>
      </c>
      <c r="L64" s="44" t="n">
        <v>46234</v>
      </c>
      <c r="M64" s="45" t="inlineStr">
        <is>
          <t>Yes</t>
        </is>
      </c>
      <c r="N64" s="46">
        <f>IF(tblReferrals[[#This Row],[DateFirstContact]]="","",tblReferrals[[#This Row],[DateFirstContact]]-tblReferrals[[#This Row],[DateReceived]])</f>
        <v/>
      </c>
      <c r="O64" s="46">
        <f>IF(tblReferrals[[#This Row],[DateFirstContact]]="",Settings!$B$3-tblReferrals[[#This Row],[DateReceived]],"")</f>
        <v/>
      </c>
      <c r="P64" s="46">
        <f>IFERROR(INDEX(Settings!$B$6:$B$8,MATCH(tblReferrals[[#This Row],[PriorityLevel]],Settings!$A$6:$A$8,0)),"")</f>
        <v/>
      </c>
      <c r="Q6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5">
      <c r="A65" s="43" t="inlineStr">
        <is>
          <t>R064</t>
        </is>
      </c>
      <c r="B65" s="44" t="n">
        <v>46223</v>
      </c>
      <c r="C65" s="43" t="inlineStr">
        <is>
          <t>C1448</t>
        </is>
      </c>
      <c r="D65" s="43" t="inlineStr">
        <is>
          <t>Self-referral</t>
        </is>
      </c>
      <c r="E65" s="43" t="inlineStr">
        <is>
          <t>European</t>
        </is>
      </c>
      <c r="F65" s="45" t="inlineStr">
        <is>
          <t>High</t>
        </is>
      </c>
      <c r="G65" s="45" t="inlineStr">
        <is>
          <t>No</t>
        </is>
      </c>
      <c r="H65" s="44" t="n">
        <v>46226</v>
      </c>
      <c r="I65" s="43" t="inlineStr">
        <is>
          <t>Phone</t>
        </is>
      </c>
      <c r="J65" s="43" t="inlineStr">
        <is>
          <t>Contacted</t>
        </is>
      </c>
      <c r="K65" s="45" t="inlineStr">
        <is>
          <t>Pending</t>
        </is>
      </c>
      <c r="L65" s="44" t="n"/>
      <c r="M65" s="45" t="inlineStr">
        <is>
          <t>No</t>
        </is>
      </c>
      <c r="N65" s="46">
        <f>IF(tblReferrals[[#This Row],[DateFirstContact]]="","",tblReferrals[[#This Row],[DateFirstContact]]-tblReferrals[[#This Row],[DateReceived]])</f>
        <v/>
      </c>
      <c r="O65" s="46">
        <f>IF(tblReferrals[[#This Row],[DateFirstContact]]="",Settings!$B$3-tblReferrals[[#This Row],[DateReceived]],"")</f>
        <v/>
      </c>
      <c r="P65" s="46">
        <f>IFERROR(INDEX(Settings!$B$6:$B$8,MATCH(tblReferrals[[#This Row],[PriorityLevel]],Settings!$A$6:$A$8,0)),"")</f>
        <v/>
      </c>
      <c r="Q6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6">
      <c r="A66" s="43" t="inlineStr">
        <is>
          <t>R065</t>
        </is>
      </c>
      <c r="B66" s="44" t="n">
        <v>46223</v>
      </c>
      <c r="C66" s="43" t="inlineStr">
        <is>
          <t>C1455</t>
        </is>
      </c>
      <c r="D66" s="43" t="inlineStr">
        <is>
          <t>Hospital</t>
        </is>
      </c>
      <c r="E66" s="43" t="inlineStr">
        <is>
          <t>European</t>
        </is>
      </c>
      <c r="F66" s="45" t="inlineStr">
        <is>
          <t>Routine</t>
        </is>
      </c>
      <c r="G66" s="45" t="inlineStr">
        <is>
          <t>No</t>
        </is>
      </c>
      <c r="H66" s="44" t="n">
        <v>46234</v>
      </c>
      <c r="I66" s="43" t="inlineStr">
        <is>
          <t>Text</t>
        </is>
      </c>
      <c r="J66" s="43" t="inlineStr">
        <is>
          <t>Awaiting info</t>
        </is>
      </c>
      <c r="K66" s="45" t="inlineStr">
        <is>
          <t>Pending</t>
        </is>
      </c>
      <c r="L66" s="44" t="n"/>
      <c r="M66" s="45" t="inlineStr">
        <is>
          <t>No</t>
        </is>
      </c>
      <c r="N66" s="46">
        <f>IF(tblReferrals[[#This Row],[DateFirstContact]]="","",tblReferrals[[#This Row],[DateFirstContact]]-tblReferrals[[#This Row],[DateReceived]])</f>
        <v/>
      </c>
      <c r="O66" s="46">
        <f>IF(tblReferrals[[#This Row],[DateFirstContact]]="",Settings!$B$3-tblReferrals[[#This Row],[DateReceived]],"")</f>
        <v/>
      </c>
      <c r="P66" s="46">
        <f>IFERROR(INDEX(Settings!$B$6:$B$8,MATCH(tblReferrals[[#This Row],[PriorityLevel]],Settings!$A$6:$A$8,0)),"")</f>
        <v/>
      </c>
      <c r="Q6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7">
      <c r="A67" s="43" t="inlineStr">
        <is>
          <t>R066</t>
        </is>
      </c>
      <c r="B67" s="44" t="n">
        <v>46224</v>
      </c>
      <c r="C67" s="43" t="inlineStr">
        <is>
          <t>C1462</t>
        </is>
      </c>
      <c r="D67" s="43" t="inlineStr">
        <is>
          <t>Midwife</t>
        </is>
      </c>
      <c r="E67" s="43" t="inlineStr">
        <is>
          <t>European</t>
        </is>
      </c>
      <c r="F67" s="45" t="inlineStr">
        <is>
          <t>High</t>
        </is>
      </c>
      <c r="G67" s="45" t="inlineStr">
        <is>
          <t>Yes</t>
        </is>
      </c>
      <c r="H67" s="44" t="n">
        <v>46230</v>
      </c>
      <c r="I67" s="43" t="inlineStr">
        <is>
          <t>Phone</t>
        </is>
      </c>
      <c r="J67" s="43" t="inlineStr">
        <is>
          <t>Declined</t>
        </is>
      </c>
      <c r="K67" s="45" t="inlineStr">
        <is>
          <t>No</t>
        </is>
      </c>
      <c r="L67" s="44" t="n"/>
      <c r="M67" s="45" t="inlineStr">
        <is>
          <t>No</t>
        </is>
      </c>
      <c r="N67" s="46">
        <f>IF(tblReferrals[[#This Row],[DateFirstContact]]="","",tblReferrals[[#This Row],[DateFirstContact]]-tblReferrals[[#This Row],[DateReceived]])</f>
        <v/>
      </c>
      <c r="O67" s="46">
        <f>IF(tblReferrals[[#This Row],[DateFirstContact]]="",Settings!$B$3-tblReferrals[[#This Row],[DateReceived]],"")</f>
        <v/>
      </c>
      <c r="P67" s="46">
        <f>IFERROR(INDEX(Settings!$B$6:$B$8,MATCH(tblReferrals[[#This Row],[PriorityLevel]],Settings!$A$6:$A$8,0)),"")</f>
        <v/>
      </c>
      <c r="Q6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8">
      <c r="A68" s="43" t="inlineStr">
        <is>
          <t>R067</t>
        </is>
      </c>
      <c r="B68" s="44" t="n">
        <v>46224</v>
      </c>
      <c r="C68" s="43" t="inlineStr">
        <is>
          <t>C1469</t>
        </is>
      </c>
      <c r="D68" s="43" t="inlineStr">
        <is>
          <t>Other health provider</t>
        </is>
      </c>
      <c r="E68" s="43" t="inlineStr">
        <is>
          <t>Māori</t>
        </is>
      </c>
      <c r="F68" s="45" t="inlineStr">
        <is>
          <t>Routine</t>
        </is>
      </c>
      <c r="G68" s="45" t="inlineStr">
        <is>
          <t>No</t>
        </is>
      </c>
      <c r="H68" s="44" t="n">
        <v>46225</v>
      </c>
      <c r="I68" s="43" t="inlineStr">
        <is>
          <t>Text</t>
        </is>
      </c>
      <c r="J68" s="43" t="inlineStr">
        <is>
          <t>Awaiting info</t>
        </is>
      </c>
      <c r="K68" s="45" t="inlineStr">
        <is>
          <t>Pending</t>
        </is>
      </c>
      <c r="L68" s="44" t="n"/>
      <c r="M68" s="45" t="inlineStr">
        <is>
          <t>No</t>
        </is>
      </c>
      <c r="N68" s="46">
        <f>IF(tblReferrals[[#This Row],[DateFirstContact]]="","",tblReferrals[[#This Row],[DateFirstContact]]-tblReferrals[[#This Row],[DateReceived]])</f>
        <v/>
      </c>
      <c r="O68" s="46">
        <f>IF(tblReferrals[[#This Row],[DateFirstContact]]="",Settings!$B$3-tblReferrals[[#This Row],[DateReceived]],"")</f>
        <v/>
      </c>
      <c r="P68" s="46">
        <f>IFERROR(INDEX(Settings!$B$6:$B$8,MATCH(tblReferrals[[#This Row],[PriorityLevel]],Settings!$A$6:$A$8,0)),"")</f>
        <v/>
      </c>
      <c r="Q6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69">
      <c r="A69" s="43" t="inlineStr">
        <is>
          <t>R068</t>
        </is>
      </c>
      <c r="B69" s="44" t="n">
        <v>46224</v>
      </c>
      <c r="C69" s="43" t="inlineStr">
        <is>
          <t>C1476</t>
        </is>
      </c>
      <c r="D69" s="43" t="inlineStr">
        <is>
          <t>Community agency</t>
        </is>
      </c>
      <c r="E69" s="43" t="inlineStr">
        <is>
          <t>Māori</t>
        </is>
      </c>
      <c r="F69" s="45" t="inlineStr">
        <is>
          <t>Routine</t>
        </is>
      </c>
      <c r="G69" s="45" t="inlineStr">
        <is>
          <t>Yes</t>
        </is>
      </c>
      <c r="H69" s="44" t="n">
        <v>46226</v>
      </c>
      <c r="I69" s="43" t="inlineStr">
        <is>
          <t>Email</t>
        </is>
      </c>
      <c r="J69" s="43" t="inlineStr">
        <is>
          <t>Enrolled</t>
        </is>
      </c>
      <c r="K69" s="45" t="inlineStr">
        <is>
          <t>Yes</t>
        </is>
      </c>
      <c r="L69" s="44" t="n">
        <v>46238</v>
      </c>
      <c r="M69" s="45" t="inlineStr">
        <is>
          <t>No</t>
        </is>
      </c>
      <c r="N69" s="46">
        <f>IF(tblReferrals[[#This Row],[DateFirstContact]]="","",tblReferrals[[#This Row],[DateFirstContact]]-tblReferrals[[#This Row],[DateReceived]])</f>
        <v/>
      </c>
      <c r="O69" s="46">
        <f>IF(tblReferrals[[#This Row],[DateFirstContact]]="",Settings!$B$3-tblReferrals[[#This Row],[DateReceived]],"")</f>
        <v/>
      </c>
      <c r="P69" s="46">
        <f>IFERROR(INDEX(Settings!$B$6:$B$8,MATCH(tblReferrals[[#This Row],[PriorityLevel]],Settings!$A$6:$A$8,0)),"")</f>
        <v/>
      </c>
      <c r="Q6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6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0">
      <c r="A70" s="43" t="inlineStr">
        <is>
          <t>R069</t>
        </is>
      </c>
      <c r="B70" s="44" t="n">
        <v>46224</v>
      </c>
      <c r="C70" s="43" t="inlineStr">
        <is>
          <t>C1483</t>
        </is>
      </c>
      <c r="D70" s="43" t="inlineStr">
        <is>
          <t>GP</t>
        </is>
      </c>
      <c r="E70" s="43" t="inlineStr">
        <is>
          <t>Māori</t>
        </is>
      </c>
      <c r="F70" s="45" t="n"/>
      <c r="G70" s="45" t="inlineStr">
        <is>
          <t>Yes</t>
        </is>
      </c>
      <c r="H70" s="44" t="n">
        <v>46226</v>
      </c>
      <c r="I70" s="43" t="inlineStr">
        <is>
          <t>Text</t>
        </is>
      </c>
      <c r="J70" s="43" t="inlineStr">
        <is>
          <t>Enrolled</t>
        </is>
      </c>
      <c r="K70" s="45" t="inlineStr">
        <is>
          <t>Yes</t>
        </is>
      </c>
      <c r="L70" s="44" t="n">
        <v>46240</v>
      </c>
      <c r="M70" s="45" t="inlineStr">
        <is>
          <t>No</t>
        </is>
      </c>
      <c r="N70" s="46">
        <f>IF(tblReferrals[[#This Row],[DateFirstContact]]="","",tblReferrals[[#This Row],[DateFirstContact]]-tblReferrals[[#This Row],[DateReceived]])</f>
        <v/>
      </c>
      <c r="O70" s="46">
        <f>IF(tblReferrals[[#This Row],[DateFirstContact]]="",Settings!$B$3-tblReferrals[[#This Row],[DateReceived]],"")</f>
        <v/>
      </c>
      <c r="P70" s="46">
        <f>IFERROR(INDEX(Settings!$B$6:$B$8,MATCH(tblReferrals[[#This Row],[PriorityLevel]],Settings!$A$6:$A$8,0)),"")</f>
        <v/>
      </c>
      <c r="Q7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1">
      <c r="A71" s="43" t="inlineStr">
        <is>
          <t>R070</t>
        </is>
      </c>
      <c r="B71" s="44" t="n">
        <v>46225</v>
      </c>
      <c r="C71" s="43" t="inlineStr">
        <is>
          <t>C1490</t>
        </is>
      </c>
      <c r="D71" s="43" t="inlineStr">
        <is>
          <t>Other health provider</t>
        </is>
      </c>
      <c r="E71" s="43" t="inlineStr">
        <is>
          <t>European</t>
        </is>
      </c>
      <c r="F71" s="45" t="inlineStr">
        <is>
          <t>High</t>
        </is>
      </c>
      <c r="G71" s="45" t="inlineStr">
        <is>
          <t>Yes</t>
        </is>
      </c>
      <c r="H71" s="44" t="n">
        <v>46227</v>
      </c>
      <c r="I71" s="43" t="inlineStr">
        <is>
          <t>Phone</t>
        </is>
      </c>
      <c r="J71" s="43" t="inlineStr">
        <is>
          <t>Enrolled</t>
        </is>
      </c>
      <c r="K71" s="45" t="inlineStr">
        <is>
          <t>Yes</t>
        </is>
      </c>
      <c r="L71" s="44" t="n">
        <v>46239</v>
      </c>
      <c r="M71" s="45" t="inlineStr">
        <is>
          <t>No</t>
        </is>
      </c>
      <c r="N71" s="46">
        <f>IF(tblReferrals[[#This Row],[DateFirstContact]]="","",tblReferrals[[#This Row],[DateFirstContact]]-tblReferrals[[#This Row],[DateReceived]])</f>
        <v/>
      </c>
      <c r="O71" s="46">
        <f>IF(tblReferrals[[#This Row],[DateFirstContact]]="",Settings!$B$3-tblReferrals[[#This Row],[DateReceived]],"")</f>
        <v/>
      </c>
      <c r="P71" s="46">
        <f>IFERROR(INDEX(Settings!$B$6:$B$8,MATCH(tblReferrals[[#This Row],[PriorityLevel]],Settings!$A$6:$A$8,0)),"")</f>
        <v/>
      </c>
      <c r="Q7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2">
      <c r="A72" s="43" t="inlineStr">
        <is>
          <t>R071</t>
        </is>
      </c>
      <c r="B72" s="44" t="n">
        <v>46225</v>
      </c>
      <c r="C72" s="43" t="inlineStr">
        <is>
          <t>C1497</t>
        </is>
      </c>
      <c r="D72" s="43" t="inlineStr">
        <is>
          <t>GP</t>
        </is>
      </c>
      <c r="E72" s="43" t="inlineStr">
        <is>
          <t>European</t>
        </is>
      </c>
      <c r="F72" s="45" t="inlineStr">
        <is>
          <t>High</t>
        </is>
      </c>
      <c r="G72" s="45" t="inlineStr">
        <is>
          <t>Yes</t>
        </is>
      </c>
      <c r="H72" s="44" t="n">
        <v>46231</v>
      </c>
      <c r="I72" s="43" t="inlineStr">
        <is>
          <t>Phone</t>
        </is>
      </c>
      <c r="J72" s="43" t="inlineStr">
        <is>
          <t>Consent pending</t>
        </is>
      </c>
      <c r="K72" s="45" t="inlineStr">
        <is>
          <t>Pending</t>
        </is>
      </c>
      <c r="L72" s="44" t="n"/>
      <c r="M72" s="45" t="inlineStr">
        <is>
          <t>No</t>
        </is>
      </c>
      <c r="N72" s="46">
        <f>IF(tblReferrals[[#This Row],[DateFirstContact]]="","",tblReferrals[[#This Row],[DateFirstContact]]-tblReferrals[[#This Row],[DateReceived]])</f>
        <v/>
      </c>
      <c r="O72" s="46">
        <f>IF(tblReferrals[[#This Row],[DateFirstContact]]="",Settings!$B$3-tblReferrals[[#This Row],[DateReceived]],"")</f>
        <v/>
      </c>
      <c r="P72" s="46">
        <f>IFERROR(INDEX(Settings!$B$6:$B$8,MATCH(tblReferrals[[#This Row],[PriorityLevel]],Settings!$A$6:$A$8,0)),"")</f>
        <v/>
      </c>
      <c r="Q7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3">
      <c r="A73" s="43" t="inlineStr">
        <is>
          <t>R072</t>
        </is>
      </c>
      <c r="B73" s="44" t="n">
        <v>46226</v>
      </c>
      <c r="C73" s="43" t="inlineStr">
        <is>
          <t>C1504</t>
        </is>
      </c>
      <c r="D73" s="43" t="inlineStr">
        <is>
          <t>Midwife</t>
        </is>
      </c>
      <c r="E73" s="43" t="inlineStr">
        <is>
          <t>Pacific</t>
        </is>
      </c>
      <c r="F73" s="45" t="inlineStr">
        <is>
          <t>Urgent</t>
        </is>
      </c>
      <c r="G73" s="45" t="inlineStr">
        <is>
          <t>Yes</t>
        </is>
      </c>
      <c r="H73" s="44" t="n">
        <v>46226</v>
      </c>
      <c r="I73" s="43" t="inlineStr">
        <is>
          <t>Phone</t>
        </is>
      </c>
      <c r="J73" s="43" t="inlineStr">
        <is>
          <t>Enrolled</t>
        </is>
      </c>
      <c r="K73" s="45" t="inlineStr">
        <is>
          <t>Yes</t>
        </is>
      </c>
      <c r="L73" s="44" t="n">
        <v>46237</v>
      </c>
      <c r="M73" s="45" t="inlineStr">
        <is>
          <t>Yes</t>
        </is>
      </c>
      <c r="N73" s="46">
        <f>IF(tblReferrals[[#This Row],[DateFirstContact]]="","",tblReferrals[[#This Row],[DateFirstContact]]-tblReferrals[[#This Row],[DateReceived]])</f>
        <v/>
      </c>
      <c r="O73" s="46">
        <f>IF(tblReferrals[[#This Row],[DateFirstContact]]="",Settings!$B$3-tblReferrals[[#This Row],[DateReceived]],"")</f>
        <v/>
      </c>
      <c r="P73" s="46">
        <f>IFERROR(INDEX(Settings!$B$6:$B$8,MATCH(tblReferrals[[#This Row],[PriorityLevel]],Settings!$A$6:$A$8,0)),"")</f>
        <v/>
      </c>
      <c r="Q7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4">
      <c r="A74" s="43" t="inlineStr">
        <is>
          <t>R073</t>
        </is>
      </c>
      <c r="B74" s="44" t="n">
        <v>46226</v>
      </c>
      <c r="C74" s="43" t="inlineStr">
        <is>
          <t>C1511</t>
        </is>
      </c>
      <c r="D74" s="43" t="inlineStr">
        <is>
          <t>Self-referral</t>
        </is>
      </c>
      <c r="E74" s="43" t="inlineStr">
        <is>
          <t>Pacific</t>
        </is>
      </c>
      <c r="F74" s="45" t="inlineStr">
        <is>
          <t>Routine</t>
        </is>
      </c>
      <c r="G74" s="45" t="inlineStr">
        <is>
          <t>Yes</t>
        </is>
      </c>
      <c r="H74" s="44" t="n">
        <v>46234</v>
      </c>
      <c r="I74" s="43" t="inlineStr">
        <is>
          <t>Phone</t>
        </is>
      </c>
      <c r="J74" s="43" t="inlineStr">
        <is>
          <t>Contacted</t>
        </is>
      </c>
      <c r="K74" s="45" t="inlineStr">
        <is>
          <t>Pending</t>
        </is>
      </c>
      <c r="L74" s="44" t="n"/>
      <c r="M74" s="45" t="inlineStr">
        <is>
          <t>No</t>
        </is>
      </c>
      <c r="N74" s="46">
        <f>IF(tblReferrals[[#This Row],[DateFirstContact]]="","",tblReferrals[[#This Row],[DateFirstContact]]-tblReferrals[[#This Row],[DateReceived]])</f>
        <v/>
      </c>
      <c r="O74" s="46">
        <f>IF(tblReferrals[[#This Row],[DateFirstContact]]="",Settings!$B$3-tblReferrals[[#This Row],[DateReceived]],"")</f>
        <v/>
      </c>
      <c r="P74" s="46">
        <f>IFERROR(INDEX(Settings!$B$6:$B$8,MATCH(tblReferrals[[#This Row],[PriorityLevel]],Settings!$A$6:$A$8,0)),"")</f>
        <v/>
      </c>
      <c r="Q7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5">
      <c r="A75" s="43" t="inlineStr">
        <is>
          <t>R074</t>
        </is>
      </c>
      <c r="B75" s="44" t="n">
        <v>46226</v>
      </c>
      <c r="C75" s="43" t="inlineStr">
        <is>
          <t>C1518</t>
        </is>
      </c>
      <c r="D75" s="43" t="inlineStr">
        <is>
          <t>Community agency</t>
        </is>
      </c>
      <c r="E75" s="43" t="inlineStr">
        <is>
          <t>European</t>
        </is>
      </c>
      <c r="F75" s="45" t="inlineStr">
        <is>
          <t>Urgent</t>
        </is>
      </c>
      <c r="G75" s="45" t="inlineStr">
        <is>
          <t>Yes</t>
        </is>
      </c>
      <c r="H75" s="44" t="n">
        <v>46226</v>
      </c>
      <c r="I75" s="43" t="inlineStr">
        <is>
          <t>In person</t>
        </is>
      </c>
      <c r="J75" s="43" t="inlineStr">
        <is>
          <t>Declined</t>
        </is>
      </c>
      <c r="K75" s="45" t="inlineStr">
        <is>
          <t>No</t>
        </is>
      </c>
      <c r="L75" s="44" t="n"/>
      <c r="M75" s="45" t="inlineStr">
        <is>
          <t>Yes</t>
        </is>
      </c>
      <c r="N75" s="46">
        <f>IF(tblReferrals[[#This Row],[DateFirstContact]]="","",tblReferrals[[#This Row],[DateFirstContact]]-tblReferrals[[#This Row],[DateReceived]])</f>
        <v/>
      </c>
      <c r="O75" s="46">
        <f>IF(tblReferrals[[#This Row],[DateFirstContact]]="",Settings!$B$3-tblReferrals[[#This Row],[DateReceived]],"")</f>
        <v/>
      </c>
      <c r="P75" s="46">
        <f>IFERROR(INDEX(Settings!$B$6:$B$8,MATCH(tblReferrals[[#This Row],[PriorityLevel]],Settings!$A$6:$A$8,0)),"")</f>
        <v/>
      </c>
      <c r="Q7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6">
      <c r="A76" s="43" t="inlineStr">
        <is>
          <t>R075</t>
        </is>
      </c>
      <c r="B76" s="44" t="n">
        <v>46227</v>
      </c>
      <c r="C76" s="43" t="inlineStr">
        <is>
          <t>C1525</t>
        </is>
      </c>
      <c r="D76" s="43" t="inlineStr">
        <is>
          <t>Hospital</t>
        </is>
      </c>
      <c r="E76" s="43" t="inlineStr">
        <is>
          <t>European</t>
        </is>
      </c>
      <c r="F76" s="45" t="inlineStr">
        <is>
          <t>Routine</t>
        </is>
      </c>
      <c r="G76" s="45" t="inlineStr">
        <is>
          <t>No</t>
        </is>
      </c>
      <c r="H76" s="44" t="n">
        <v>46234</v>
      </c>
      <c r="I76" s="43" t="inlineStr">
        <is>
          <t>Phone</t>
        </is>
      </c>
      <c r="J76" s="43" t="inlineStr">
        <is>
          <t>Consent pending</t>
        </is>
      </c>
      <c r="K76" s="45" t="inlineStr">
        <is>
          <t>Pending</t>
        </is>
      </c>
      <c r="L76" s="44" t="n">
        <v>46241</v>
      </c>
      <c r="M76" s="45" t="inlineStr">
        <is>
          <t>No</t>
        </is>
      </c>
      <c r="N76" s="46">
        <f>IF(tblReferrals[[#This Row],[DateFirstContact]]="","",tblReferrals[[#This Row],[DateFirstContact]]-tblReferrals[[#This Row],[DateReceived]])</f>
        <v/>
      </c>
      <c r="O76" s="46">
        <f>IF(tblReferrals[[#This Row],[DateFirstContact]]="",Settings!$B$3-tblReferrals[[#This Row],[DateReceived]],"")</f>
        <v/>
      </c>
      <c r="P76" s="46">
        <f>IFERROR(INDEX(Settings!$B$6:$B$8,MATCH(tblReferrals[[#This Row],[PriorityLevel]],Settings!$A$6:$A$8,0)),"")</f>
        <v/>
      </c>
      <c r="Q7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7">
      <c r="A77" s="43" t="inlineStr">
        <is>
          <t>R076</t>
        </is>
      </c>
      <c r="B77" s="44" t="n">
        <v>46227</v>
      </c>
      <c r="C77" s="43" t="inlineStr">
        <is>
          <t>C1532</t>
        </is>
      </c>
      <c r="D77" s="43" t="inlineStr">
        <is>
          <t>Midwife</t>
        </is>
      </c>
      <c r="E77" s="43" t="inlineStr">
        <is>
          <t>Māori</t>
        </is>
      </c>
      <c r="F77" s="45" t="inlineStr">
        <is>
          <t>Routine</t>
        </is>
      </c>
      <c r="G77" s="45" t="inlineStr">
        <is>
          <t>Yes</t>
        </is>
      </c>
      <c r="H77" s="44" t="n">
        <v>46233</v>
      </c>
      <c r="I77" s="43" t="inlineStr">
        <is>
          <t>In person</t>
        </is>
      </c>
      <c r="J77" s="43" t="inlineStr">
        <is>
          <t>Declined</t>
        </is>
      </c>
      <c r="K77" s="45" t="inlineStr">
        <is>
          <t>No</t>
        </is>
      </c>
      <c r="L77" s="44" t="n"/>
      <c r="M77" s="45" t="inlineStr">
        <is>
          <t>No</t>
        </is>
      </c>
      <c r="N77" s="46">
        <f>IF(tblReferrals[[#This Row],[DateFirstContact]]="","",tblReferrals[[#This Row],[DateFirstContact]]-tblReferrals[[#This Row],[DateReceived]])</f>
        <v/>
      </c>
      <c r="O77" s="46">
        <f>IF(tblReferrals[[#This Row],[DateFirstContact]]="",Settings!$B$3-tblReferrals[[#This Row],[DateReceived]],"")</f>
        <v/>
      </c>
      <c r="P77" s="46">
        <f>IFERROR(INDEX(Settings!$B$6:$B$8,MATCH(tblReferrals[[#This Row],[PriorityLevel]],Settings!$A$6:$A$8,0)),"")</f>
        <v/>
      </c>
      <c r="Q7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8">
      <c r="A78" s="43" t="inlineStr">
        <is>
          <t>R077</t>
        </is>
      </c>
      <c r="B78" s="44" t="n">
        <v>46227</v>
      </c>
      <c r="C78" s="43" t="inlineStr">
        <is>
          <t>C1539</t>
        </is>
      </c>
      <c r="D78" s="43" t="inlineStr">
        <is>
          <t>Midwife</t>
        </is>
      </c>
      <c r="E78" s="43" t="n"/>
      <c r="F78" s="45" t="inlineStr">
        <is>
          <t>Routine</t>
        </is>
      </c>
      <c r="G78" s="45" t="inlineStr">
        <is>
          <t>Yes</t>
        </is>
      </c>
      <c r="H78" s="44" t="n">
        <v>46237</v>
      </c>
      <c r="I78" s="43" t="inlineStr">
        <is>
          <t>Phone</t>
        </is>
      </c>
      <c r="J78" s="43" t="inlineStr">
        <is>
          <t>Contacted</t>
        </is>
      </c>
      <c r="K78" s="45" t="inlineStr">
        <is>
          <t>Pending</t>
        </is>
      </c>
      <c r="L78" s="44" t="n"/>
      <c r="M78" s="45" t="inlineStr">
        <is>
          <t>No</t>
        </is>
      </c>
      <c r="N78" s="46">
        <f>IF(tblReferrals[[#This Row],[DateFirstContact]]="","",tblReferrals[[#This Row],[DateFirstContact]]-tblReferrals[[#This Row],[DateReceived]])</f>
        <v/>
      </c>
      <c r="O78" s="46">
        <f>IF(tblReferrals[[#This Row],[DateFirstContact]]="",Settings!$B$3-tblReferrals[[#This Row],[DateReceived]],"")</f>
        <v/>
      </c>
      <c r="P78" s="46">
        <f>IFERROR(INDEX(Settings!$B$6:$B$8,MATCH(tblReferrals[[#This Row],[PriorityLevel]],Settings!$A$6:$A$8,0)),"")</f>
        <v/>
      </c>
      <c r="Q7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79">
      <c r="A79" s="43" t="inlineStr">
        <is>
          <t>R078</t>
        </is>
      </c>
      <c r="B79" s="44" t="n">
        <v>46230</v>
      </c>
      <c r="C79" s="43" t="inlineStr">
        <is>
          <t>C1546</t>
        </is>
      </c>
      <c r="D79" s="43" t="inlineStr">
        <is>
          <t>GP</t>
        </is>
      </c>
      <c r="E79" s="43" t="inlineStr">
        <is>
          <t>Asian</t>
        </is>
      </c>
      <c r="F79" s="45" t="inlineStr">
        <is>
          <t>Routine</t>
        </is>
      </c>
      <c r="G79" s="45" t="inlineStr">
        <is>
          <t>No</t>
        </is>
      </c>
      <c r="H79" s="44" t="n">
        <v>46237</v>
      </c>
      <c r="I79" s="43" t="inlineStr">
        <is>
          <t>Phone</t>
        </is>
      </c>
      <c r="J79" s="43" t="inlineStr">
        <is>
          <t>Awaiting info</t>
        </is>
      </c>
      <c r="K79" s="45" t="inlineStr">
        <is>
          <t>Pending</t>
        </is>
      </c>
      <c r="L79" s="44" t="n"/>
      <c r="M79" s="45" t="inlineStr">
        <is>
          <t>No</t>
        </is>
      </c>
      <c r="N79" s="46">
        <f>IF(tblReferrals[[#This Row],[DateFirstContact]]="","",tblReferrals[[#This Row],[DateFirstContact]]-tblReferrals[[#This Row],[DateReceived]])</f>
        <v/>
      </c>
      <c r="O79" s="46">
        <f>IF(tblReferrals[[#This Row],[DateFirstContact]]="",Settings!$B$3-tblReferrals[[#This Row],[DateReceived]],"")</f>
        <v/>
      </c>
      <c r="P79" s="46">
        <f>IFERROR(INDEX(Settings!$B$6:$B$8,MATCH(tblReferrals[[#This Row],[PriorityLevel]],Settings!$A$6:$A$8,0)),"")</f>
        <v/>
      </c>
      <c r="Q7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7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0">
      <c r="A80" s="43" t="inlineStr">
        <is>
          <t>R079</t>
        </is>
      </c>
      <c r="B80" s="44" t="n">
        <v>46230</v>
      </c>
      <c r="C80" s="43" t="inlineStr">
        <is>
          <t>C1553</t>
        </is>
      </c>
      <c r="D80" s="43" t="inlineStr">
        <is>
          <t>Community agency</t>
        </is>
      </c>
      <c r="E80" s="43" t="inlineStr">
        <is>
          <t>European</t>
        </is>
      </c>
      <c r="F80" s="45" t="inlineStr">
        <is>
          <t>High</t>
        </is>
      </c>
      <c r="G80" s="45" t="inlineStr">
        <is>
          <t>Yes</t>
        </is>
      </c>
      <c r="H80" s="44" t="n">
        <v>46232</v>
      </c>
      <c r="I80" s="43" t="inlineStr">
        <is>
          <t>In person</t>
        </is>
      </c>
      <c r="J80" s="43" t="inlineStr">
        <is>
          <t>Contacted</t>
        </is>
      </c>
      <c r="K80" s="45" t="inlineStr">
        <is>
          <t>Pending</t>
        </is>
      </c>
      <c r="L80" s="44" t="n"/>
      <c r="M80" s="45" t="inlineStr">
        <is>
          <t>No</t>
        </is>
      </c>
      <c r="N80" s="46">
        <f>IF(tblReferrals[[#This Row],[DateFirstContact]]="","",tblReferrals[[#This Row],[DateFirstContact]]-tblReferrals[[#This Row],[DateReceived]])</f>
        <v/>
      </c>
      <c r="O80" s="46">
        <f>IF(tblReferrals[[#This Row],[DateFirstContact]]="",Settings!$B$3-tblReferrals[[#This Row],[DateReceived]],"")</f>
        <v/>
      </c>
      <c r="P80" s="46">
        <f>IFERROR(INDEX(Settings!$B$6:$B$8,MATCH(tblReferrals[[#This Row],[PriorityLevel]],Settings!$A$6:$A$8,0)),"")</f>
        <v/>
      </c>
      <c r="Q8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1">
      <c r="A81" s="43" t="inlineStr">
        <is>
          <t>R080</t>
        </is>
      </c>
      <c r="B81" s="44" t="n">
        <v>46232</v>
      </c>
      <c r="C81" s="43" t="inlineStr">
        <is>
          <t>C1560</t>
        </is>
      </c>
      <c r="D81" s="43" t="inlineStr">
        <is>
          <t>Other health provider</t>
        </is>
      </c>
      <c r="E81" s="43" t="inlineStr">
        <is>
          <t>Pacific</t>
        </is>
      </c>
      <c r="F81" s="45" t="inlineStr">
        <is>
          <t>Routine</t>
        </is>
      </c>
      <c r="G81" s="45" t="inlineStr">
        <is>
          <t>Yes</t>
        </is>
      </c>
      <c r="H81" s="44" t="n">
        <v>46238</v>
      </c>
      <c r="I81" s="43" t="inlineStr">
        <is>
          <t>Text</t>
        </is>
      </c>
      <c r="J81" s="43" t="inlineStr">
        <is>
          <t>Contacted</t>
        </is>
      </c>
      <c r="K81" s="45" t="inlineStr">
        <is>
          <t>Pending</t>
        </is>
      </c>
      <c r="L81" s="44" t="n"/>
      <c r="M81" s="45" t="inlineStr">
        <is>
          <t>No</t>
        </is>
      </c>
      <c r="N81" s="46">
        <f>IF(tblReferrals[[#This Row],[DateFirstContact]]="","",tblReferrals[[#This Row],[DateFirstContact]]-tblReferrals[[#This Row],[DateReceived]])</f>
        <v/>
      </c>
      <c r="O81" s="46">
        <f>IF(tblReferrals[[#This Row],[DateFirstContact]]="",Settings!$B$3-tblReferrals[[#This Row],[DateReceived]],"")</f>
        <v/>
      </c>
      <c r="P81" s="46">
        <f>IFERROR(INDEX(Settings!$B$6:$B$8,MATCH(tblReferrals[[#This Row],[PriorityLevel]],Settings!$A$6:$A$8,0)),"")</f>
        <v/>
      </c>
      <c r="Q8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2">
      <c r="A82" s="43" t="inlineStr">
        <is>
          <t>R081</t>
        </is>
      </c>
      <c r="B82" s="44" t="n">
        <v>46233</v>
      </c>
      <c r="C82" s="43" t="inlineStr">
        <is>
          <t>C1567</t>
        </is>
      </c>
      <c r="D82" s="43" t="inlineStr">
        <is>
          <t>Community agency</t>
        </is>
      </c>
      <c r="E82" s="43" t="inlineStr">
        <is>
          <t>Māori</t>
        </is>
      </c>
      <c r="F82" s="45" t="inlineStr">
        <is>
          <t>Routine</t>
        </is>
      </c>
      <c r="G82" s="45" t="inlineStr">
        <is>
          <t>Yes</t>
        </is>
      </c>
      <c r="H82" s="44" t="n">
        <v>46241</v>
      </c>
      <c r="I82" s="43" t="inlineStr">
        <is>
          <t>In person</t>
        </is>
      </c>
      <c r="J82" s="43" t="inlineStr">
        <is>
          <t>Awaiting info</t>
        </is>
      </c>
      <c r="K82" s="45" t="inlineStr">
        <is>
          <t>Pending</t>
        </is>
      </c>
      <c r="L82" s="44" t="n"/>
      <c r="M82" s="45" t="inlineStr">
        <is>
          <t>No</t>
        </is>
      </c>
      <c r="N82" s="46">
        <f>IF(tblReferrals[[#This Row],[DateFirstContact]]="","",tblReferrals[[#This Row],[DateFirstContact]]-tblReferrals[[#This Row],[DateReceived]])</f>
        <v/>
      </c>
      <c r="O82" s="46">
        <f>IF(tblReferrals[[#This Row],[DateFirstContact]]="",Settings!$B$3-tblReferrals[[#This Row],[DateReceived]],"")</f>
        <v/>
      </c>
      <c r="P82" s="46">
        <f>IFERROR(INDEX(Settings!$B$6:$B$8,MATCH(tblReferrals[[#This Row],[PriorityLevel]],Settings!$A$6:$A$8,0)),"")</f>
        <v/>
      </c>
      <c r="Q8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3">
      <c r="A83" s="43" t="inlineStr">
        <is>
          <t>R082</t>
        </is>
      </c>
      <c r="B83" s="44" t="n">
        <v>46234</v>
      </c>
      <c r="C83" s="43" t="inlineStr">
        <is>
          <t>C1574</t>
        </is>
      </c>
      <c r="D83" s="43" t="n"/>
      <c r="E83" s="43" t="inlineStr">
        <is>
          <t>European</t>
        </is>
      </c>
      <c r="F83" s="45" t="inlineStr">
        <is>
          <t>Routine</t>
        </is>
      </c>
      <c r="G83" s="45" t="inlineStr">
        <is>
          <t>Yes</t>
        </is>
      </c>
      <c r="H83" s="44" t="n">
        <v>46245</v>
      </c>
      <c r="I83" s="43" t="inlineStr">
        <is>
          <t>Phone</t>
        </is>
      </c>
      <c r="J83" s="43" t="inlineStr">
        <is>
          <t>Contacted</t>
        </is>
      </c>
      <c r="K83" s="45" t="inlineStr">
        <is>
          <t>Pending</t>
        </is>
      </c>
      <c r="L83" s="44" t="n"/>
      <c r="M83" s="45" t="inlineStr">
        <is>
          <t>No</t>
        </is>
      </c>
      <c r="N83" s="46">
        <f>IF(tblReferrals[[#This Row],[DateFirstContact]]="","",tblReferrals[[#This Row],[DateFirstContact]]-tblReferrals[[#This Row],[DateReceived]])</f>
        <v/>
      </c>
      <c r="O83" s="46">
        <f>IF(tblReferrals[[#This Row],[DateFirstContact]]="",Settings!$B$3-tblReferrals[[#This Row],[DateReceived]],"")</f>
        <v/>
      </c>
      <c r="P83" s="46">
        <f>IFERROR(INDEX(Settings!$B$6:$B$8,MATCH(tblReferrals[[#This Row],[PriorityLevel]],Settings!$A$6:$A$8,0)),"")</f>
        <v/>
      </c>
      <c r="Q8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4">
      <c r="A84" s="43" t="inlineStr">
        <is>
          <t>R083</t>
        </is>
      </c>
      <c r="B84" s="44" t="n">
        <v>46234</v>
      </c>
      <c r="C84" s="43" t="inlineStr">
        <is>
          <t>C1581</t>
        </is>
      </c>
      <c r="D84" s="43" t="n"/>
      <c r="E84" s="43" t="inlineStr">
        <is>
          <t>Other</t>
        </is>
      </c>
      <c r="F84" s="45" t="inlineStr">
        <is>
          <t>Routine</t>
        </is>
      </c>
      <c r="G84" s="45" t="inlineStr">
        <is>
          <t>Yes</t>
        </is>
      </c>
      <c r="H84" s="44" t="n">
        <v>46238</v>
      </c>
      <c r="I84" s="43" t="inlineStr">
        <is>
          <t>Phone</t>
        </is>
      </c>
      <c r="J84" s="43" t="inlineStr">
        <is>
          <t>Enrolled</t>
        </is>
      </c>
      <c r="K84" s="45" t="inlineStr">
        <is>
          <t>Yes</t>
        </is>
      </c>
      <c r="L84" s="44" t="n">
        <v>46252</v>
      </c>
      <c r="M84" s="45" t="inlineStr">
        <is>
          <t>No</t>
        </is>
      </c>
      <c r="N84" s="46">
        <f>IF(tblReferrals[[#This Row],[DateFirstContact]]="","",tblReferrals[[#This Row],[DateFirstContact]]-tblReferrals[[#This Row],[DateReceived]])</f>
        <v/>
      </c>
      <c r="O84" s="46">
        <f>IF(tblReferrals[[#This Row],[DateFirstContact]]="",Settings!$B$3-tblReferrals[[#This Row],[DateReceived]],"")</f>
        <v/>
      </c>
      <c r="P84" s="46">
        <f>IFERROR(INDEX(Settings!$B$6:$B$8,MATCH(tblReferrals[[#This Row],[PriorityLevel]],Settings!$A$6:$A$8,0)),"")</f>
        <v/>
      </c>
      <c r="Q8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5">
      <c r="A85" s="43" t="inlineStr">
        <is>
          <t>R084</t>
        </is>
      </c>
      <c r="B85" s="44" t="n">
        <v>46234</v>
      </c>
      <c r="C85" s="43" t="inlineStr">
        <is>
          <t>C1588</t>
        </is>
      </c>
      <c r="D85" s="43" t="inlineStr">
        <is>
          <t>Community agency</t>
        </is>
      </c>
      <c r="E85" s="43" t="inlineStr">
        <is>
          <t>European</t>
        </is>
      </c>
      <c r="F85" s="45" t="inlineStr">
        <is>
          <t>High</t>
        </is>
      </c>
      <c r="G85" s="45" t="inlineStr">
        <is>
          <t>Yes</t>
        </is>
      </c>
      <c r="H85" s="44" t="n">
        <v>46234</v>
      </c>
      <c r="I85" s="43" t="inlineStr">
        <is>
          <t>Text</t>
        </is>
      </c>
      <c r="J85" s="43" t="inlineStr">
        <is>
          <t>Enrolled</t>
        </is>
      </c>
      <c r="K85" s="45" t="inlineStr">
        <is>
          <t>Yes</t>
        </is>
      </c>
      <c r="L85" s="44" t="n">
        <v>46245</v>
      </c>
      <c r="M85" s="45" t="inlineStr">
        <is>
          <t>No</t>
        </is>
      </c>
      <c r="N85" s="46">
        <f>IF(tblReferrals[[#This Row],[DateFirstContact]]="","",tblReferrals[[#This Row],[DateFirstContact]]-tblReferrals[[#This Row],[DateReceived]])</f>
        <v/>
      </c>
      <c r="O85" s="46">
        <f>IF(tblReferrals[[#This Row],[DateFirstContact]]="",Settings!$B$3-tblReferrals[[#This Row],[DateReceived]],"")</f>
        <v/>
      </c>
      <c r="P85" s="46">
        <f>IFERROR(INDEX(Settings!$B$6:$B$8,MATCH(tblReferrals[[#This Row],[PriorityLevel]],Settings!$A$6:$A$8,0)),"")</f>
        <v/>
      </c>
      <c r="Q8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6">
      <c r="A86" s="43" t="inlineStr">
        <is>
          <t>R085</t>
        </is>
      </c>
      <c r="B86" s="44" t="n">
        <v>46237</v>
      </c>
      <c r="C86" s="43" t="inlineStr">
        <is>
          <t>C1595</t>
        </is>
      </c>
      <c r="D86" s="43" t="inlineStr">
        <is>
          <t>Midwife</t>
        </is>
      </c>
      <c r="E86" s="43" t="inlineStr">
        <is>
          <t>Asian</t>
        </is>
      </c>
      <c r="F86" s="45" t="inlineStr">
        <is>
          <t>Routine</t>
        </is>
      </c>
      <c r="G86" s="45" t="inlineStr">
        <is>
          <t>No</t>
        </is>
      </c>
      <c r="H86" s="44" t="n"/>
      <c r="I86" s="43" t="n"/>
      <c r="J86" s="43" t="inlineStr">
        <is>
          <t>New</t>
        </is>
      </c>
      <c r="K86" s="45" t="inlineStr">
        <is>
          <t>Pending</t>
        </is>
      </c>
      <c r="L86" s="44" t="n"/>
      <c r="M86" s="45" t="inlineStr">
        <is>
          <t>No</t>
        </is>
      </c>
      <c r="N86" s="46">
        <f>IF(tblReferrals[[#This Row],[DateFirstContact]]="","",tblReferrals[[#This Row],[DateFirstContact]]-tblReferrals[[#This Row],[DateReceived]])</f>
        <v/>
      </c>
      <c r="O86" s="46">
        <f>IF(tblReferrals[[#This Row],[DateFirstContact]]="",Settings!$B$3-tblReferrals[[#This Row],[DateReceived]],"")</f>
        <v/>
      </c>
      <c r="P86" s="46">
        <f>IFERROR(INDEX(Settings!$B$6:$B$8,MATCH(tblReferrals[[#This Row],[PriorityLevel]],Settings!$A$6:$A$8,0)),"")</f>
        <v/>
      </c>
      <c r="Q8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7">
      <c r="A87" s="43" t="inlineStr">
        <is>
          <t>R086</t>
        </is>
      </c>
      <c r="B87" s="44" t="n">
        <v>46237</v>
      </c>
      <c r="C87" s="43" t="inlineStr">
        <is>
          <t>C1602</t>
        </is>
      </c>
      <c r="D87" s="43" t="inlineStr">
        <is>
          <t>GP</t>
        </is>
      </c>
      <c r="E87" s="43" t="inlineStr">
        <is>
          <t>Pacific</t>
        </is>
      </c>
      <c r="F87" s="45" t="inlineStr">
        <is>
          <t>Urgent</t>
        </is>
      </c>
      <c r="G87" s="45" t="inlineStr">
        <is>
          <t>Yes</t>
        </is>
      </c>
      <c r="H87" s="44" t="n">
        <v>46238</v>
      </c>
      <c r="I87" s="43" t="inlineStr">
        <is>
          <t>Phone</t>
        </is>
      </c>
      <c r="J87" s="43" t="inlineStr">
        <is>
          <t>Enrolled</t>
        </is>
      </c>
      <c r="K87" s="45" t="inlineStr">
        <is>
          <t>Yes</t>
        </is>
      </c>
      <c r="L87" s="44" t="n">
        <v>46241</v>
      </c>
      <c r="M87" s="45" t="inlineStr">
        <is>
          <t>No</t>
        </is>
      </c>
      <c r="N87" s="46">
        <f>IF(tblReferrals[[#This Row],[DateFirstContact]]="","",tblReferrals[[#This Row],[DateFirstContact]]-tblReferrals[[#This Row],[DateReceived]])</f>
        <v/>
      </c>
      <c r="O87" s="46">
        <f>IF(tblReferrals[[#This Row],[DateFirstContact]]="",Settings!$B$3-tblReferrals[[#This Row],[DateReceived]],"")</f>
        <v/>
      </c>
      <c r="P87" s="46">
        <f>IFERROR(INDEX(Settings!$B$6:$B$8,MATCH(tblReferrals[[#This Row],[PriorityLevel]],Settings!$A$6:$A$8,0)),"")</f>
        <v/>
      </c>
      <c r="Q8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8">
      <c r="A88" s="43" t="inlineStr">
        <is>
          <t>R087</t>
        </is>
      </c>
      <c r="B88" s="44" t="n">
        <v>46238</v>
      </c>
      <c r="C88" s="43" t="inlineStr">
        <is>
          <t>C1259</t>
        </is>
      </c>
      <c r="D88" s="43" t="inlineStr">
        <is>
          <t>Midwife</t>
        </is>
      </c>
      <c r="E88" s="43" t="inlineStr">
        <is>
          <t>European</t>
        </is>
      </c>
      <c r="F88" s="45" t="inlineStr">
        <is>
          <t>Urgent</t>
        </is>
      </c>
      <c r="G88" s="45" t="inlineStr">
        <is>
          <t>Yes</t>
        </is>
      </c>
      <c r="H88" s="44" t="n"/>
      <c r="I88" s="43" t="n"/>
      <c r="J88" s="43" t="inlineStr">
        <is>
          <t>New</t>
        </is>
      </c>
      <c r="K88" s="45" t="inlineStr">
        <is>
          <t>Pending</t>
        </is>
      </c>
      <c r="L88" s="44" t="n"/>
      <c r="M88" s="45" t="inlineStr">
        <is>
          <t>Yes</t>
        </is>
      </c>
      <c r="N88" s="46">
        <f>IF(tblReferrals[[#This Row],[DateFirstContact]]="","",tblReferrals[[#This Row],[DateFirstContact]]-tblReferrals[[#This Row],[DateReceived]])</f>
        <v/>
      </c>
      <c r="O88" s="46">
        <f>IF(tblReferrals[[#This Row],[DateFirstContact]]="",Settings!$B$3-tblReferrals[[#This Row],[DateReceived]],"")</f>
        <v/>
      </c>
      <c r="P88" s="46">
        <f>IFERROR(INDEX(Settings!$B$6:$B$8,MATCH(tblReferrals[[#This Row],[PriorityLevel]],Settings!$A$6:$A$8,0)),"")</f>
        <v/>
      </c>
      <c r="Q8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89">
      <c r="A89" s="43" t="inlineStr">
        <is>
          <t>R088</t>
        </is>
      </c>
      <c r="B89" s="44" t="n">
        <v>46239</v>
      </c>
      <c r="C89" s="43" t="inlineStr">
        <is>
          <t>C1616</t>
        </is>
      </c>
      <c r="D89" s="43" t="inlineStr">
        <is>
          <t>GP</t>
        </is>
      </c>
      <c r="E89" s="43" t="n"/>
      <c r="F89" s="45" t="inlineStr">
        <is>
          <t>Routine</t>
        </is>
      </c>
      <c r="G89" s="45" t="inlineStr">
        <is>
          <t>Yes</t>
        </is>
      </c>
      <c r="H89" s="44" t="n">
        <v>46240</v>
      </c>
      <c r="I89" s="43" t="inlineStr">
        <is>
          <t>Email</t>
        </is>
      </c>
      <c r="J89" s="43" t="inlineStr">
        <is>
          <t>Enrolled</t>
        </is>
      </c>
      <c r="K89" s="45" t="inlineStr">
        <is>
          <t>Yes</t>
        </is>
      </c>
      <c r="L89" s="44" t="n">
        <v>46247</v>
      </c>
      <c r="M89" s="45" t="inlineStr">
        <is>
          <t>No</t>
        </is>
      </c>
      <c r="N89" s="46">
        <f>IF(tblReferrals[[#This Row],[DateFirstContact]]="","",tblReferrals[[#This Row],[DateFirstContact]]-tblReferrals[[#This Row],[DateReceived]])</f>
        <v/>
      </c>
      <c r="O89" s="46">
        <f>IF(tblReferrals[[#This Row],[DateFirstContact]]="",Settings!$B$3-tblReferrals[[#This Row],[DateReceived]],"")</f>
        <v/>
      </c>
      <c r="P89" s="46">
        <f>IFERROR(INDEX(Settings!$B$6:$B$8,MATCH(tblReferrals[[#This Row],[PriorityLevel]],Settings!$A$6:$A$8,0)),"")</f>
        <v/>
      </c>
      <c r="Q8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8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0">
      <c r="A90" s="43" t="inlineStr">
        <is>
          <t>R089</t>
        </is>
      </c>
      <c r="B90" s="44" t="n">
        <v>46240</v>
      </c>
      <c r="C90" s="43" t="inlineStr">
        <is>
          <t>C1623</t>
        </is>
      </c>
      <c r="D90" s="43" t="inlineStr">
        <is>
          <t>GP</t>
        </is>
      </c>
      <c r="E90" s="43" t="inlineStr">
        <is>
          <t>European</t>
        </is>
      </c>
      <c r="F90" s="45" t="inlineStr">
        <is>
          <t>Routine</t>
        </is>
      </c>
      <c r="G90" s="45" t="inlineStr">
        <is>
          <t>Yes</t>
        </is>
      </c>
      <c r="H90" s="44" t="n">
        <v>46244</v>
      </c>
      <c r="I90" s="43" t="inlineStr">
        <is>
          <t>Email</t>
        </is>
      </c>
      <c r="J90" s="43" t="inlineStr">
        <is>
          <t>Unable to contact</t>
        </is>
      </c>
      <c r="K90" s="45" t="inlineStr">
        <is>
          <t>Pending</t>
        </is>
      </c>
      <c r="L90" s="44" t="n"/>
      <c r="M90" s="45" t="inlineStr">
        <is>
          <t>No</t>
        </is>
      </c>
      <c r="N90" s="46">
        <f>IF(tblReferrals[[#This Row],[DateFirstContact]]="","",tblReferrals[[#This Row],[DateFirstContact]]-tblReferrals[[#This Row],[DateReceived]])</f>
        <v/>
      </c>
      <c r="O90" s="46">
        <f>IF(tblReferrals[[#This Row],[DateFirstContact]]="",Settings!$B$3-tblReferrals[[#This Row],[DateReceived]],"")</f>
        <v/>
      </c>
      <c r="P90" s="46">
        <f>IFERROR(INDEX(Settings!$B$6:$B$8,MATCH(tblReferrals[[#This Row],[PriorityLevel]],Settings!$A$6:$A$8,0)),"")</f>
        <v/>
      </c>
      <c r="Q9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1">
      <c r="A91" s="43" t="inlineStr">
        <is>
          <t>R090</t>
        </is>
      </c>
      <c r="B91" s="44" t="n">
        <v>46240</v>
      </c>
      <c r="C91" s="43" t="inlineStr">
        <is>
          <t>C1630</t>
        </is>
      </c>
      <c r="D91" s="43" t="inlineStr">
        <is>
          <t>Community agency</t>
        </is>
      </c>
      <c r="E91" s="43" t="inlineStr">
        <is>
          <t>Asian</t>
        </is>
      </c>
      <c r="F91" s="45" t="inlineStr">
        <is>
          <t>Routine</t>
        </is>
      </c>
      <c r="G91" s="45" t="inlineStr">
        <is>
          <t>Yes</t>
        </is>
      </c>
      <c r="H91" s="44" t="n">
        <v>46247</v>
      </c>
      <c r="I91" s="43" t="inlineStr">
        <is>
          <t>Phone</t>
        </is>
      </c>
      <c r="J91" s="43" t="inlineStr">
        <is>
          <t>Consent pending</t>
        </is>
      </c>
      <c r="K91" s="45" t="inlineStr">
        <is>
          <t>Pending</t>
        </is>
      </c>
      <c r="L91" s="44" t="n"/>
      <c r="M91" s="45" t="inlineStr">
        <is>
          <t>No</t>
        </is>
      </c>
      <c r="N91" s="46">
        <f>IF(tblReferrals[[#This Row],[DateFirstContact]]="","",tblReferrals[[#This Row],[DateFirstContact]]-tblReferrals[[#This Row],[DateReceived]])</f>
        <v/>
      </c>
      <c r="O91" s="46">
        <f>IF(tblReferrals[[#This Row],[DateFirstContact]]="",Settings!$B$3-tblReferrals[[#This Row],[DateReceived]],"")</f>
        <v/>
      </c>
      <c r="P91" s="46">
        <f>IFERROR(INDEX(Settings!$B$6:$B$8,MATCH(tblReferrals[[#This Row],[PriorityLevel]],Settings!$A$6:$A$8,0)),"")</f>
        <v/>
      </c>
      <c r="Q9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2">
      <c r="A92" s="43" t="inlineStr">
        <is>
          <t>R091</t>
        </is>
      </c>
      <c r="B92" s="44" t="n">
        <v>46240</v>
      </c>
      <c r="C92" s="43" t="inlineStr">
        <is>
          <t>C1637</t>
        </is>
      </c>
      <c r="D92" s="43" t="inlineStr">
        <is>
          <t>Other health provider</t>
        </is>
      </c>
      <c r="E92" s="43" t="inlineStr">
        <is>
          <t>European</t>
        </is>
      </c>
      <c r="F92" s="45" t="inlineStr">
        <is>
          <t>High</t>
        </is>
      </c>
      <c r="G92" s="45" t="inlineStr">
        <is>
          <t>Yes</t>
        </is>
      </c>
      <c r="H92" s="44" t="n">
        <v>46246</v>
      </c>
      <c r="I92" s="43" t="inlineStr">
        <is>
          <t>Phone</t>
        </is>
      </c>
      <c r="J92" s="43" t="inlineStr">
        <is>
          <t>Enrolled</t>
        </is>
      </c>
      <c r="K92" s="45" t="inlineStr">
        <is>
          <t>Yes</t>
        </is>
      </c>
      <c r="L92" s="44" t="n">
        <v>46255</v>
      </c>
      <c r="M92" s="45" t="inlineStr">
        <is>
          <t>Yes</t>
        </is>
      </c>
      <c r="N92" s="46">
        <f>IF(tblReferrals[[#This Row],[DateFirstContact]]="","",tblReferrals[[#This Row],[DateFirstContact]]-tblReferrals[[#This Row],[DateReceived]])</f>
        <v/>
      </c>
      <c r="O92" s="46">
        <f>IF(tblReferrals[[#This Row],[DateFirstContact]]="",Settings!$B$3-tblReferrals[[#This Row],[DateReceived]],"")</f>
        <v/>
      </c>
      <c r="P92" s="46">
        <f>IFERROR(INDEX(Settings!$B$6:$B$8,MATCH(tblReferrals[[#This Row],[PriorityLevel]],Settings!$A$6:$A$8,0)),"")</f>
        <v/>
      </c>
      <c r="Q9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3">
      <c r="A93" s="43" t="inlineStr">
        <is>
          <t>R092</t>
        </is>
      </c>
      <c r="B93" s="44" t="n">
        <v>46241</v>
      </c>
      <c r="C93" s="43" t="inlineStr">
        <is>
          <t>C1644</t>
        </is>
      </c>
      <c r="D93" s="43" t="inlineStr">
        <is>
          <t>GP</t>
        </is>
      </c>
      <c r="E93" s="43" t="inlineStr">
        <is>
          <t>Māori</t>
        </is>
      </c>
      <c r="F93" s="45" t="inlineStr">
        <is>
          <t>Routine</t>
        </is>
      </c>
      <c r="G93" s="45" t="inlineStr">
        <is>
          <t>Yes</t>
        </is>
      </c>
      <c r="H93" s="44" t="n">
        <v>46246</v>
      </c>
      <c r="I93" s="43" t="inlineStr">
        <is>
          <t>Phone</t>
        </is>
      </c>
      <c r="J93" s="43" t="inlineStr">
        <is>
          <t>Enrolled</t>
        </is>
      </c>
      <c r="K93" s="45" t="inlineStr">
        <is>
          <t>Yes</t>
        </is>
      </c>
      <c r="L93" s="44" t="n">
        <v>46252</v>
      </c>
      <c r="M93" s="45" t="inlineStr">
        <is>
          <t>No</t>
        </is>
      </c>
      <c r="N93" s="46">
        <f>IF(tblReferrals[[#This Row],[DateFirstContact]]="","",tblReferrals[[#This Row],[DateFirstContact]]-tblReferrals[[#This Row],[DateReceived]])</f>
        <v/>
      </c>
      <c r="O93" s="46">
        <f>IF(tblReferrals[[#This Row],[DateFirstContact]]="",Settings!$B$3-tblReferrals[[#This Row],[DateReceived]],"")</f>
        <v/>
      </c>
      <c r="P93" s="46">
        <f>IFERROR(INDEX(Settings!$B$6:$B$8,MATCH(tblReferrals[[#This Row],[PriorityLevel]],Settings!$A$6:$A$8,0)),"")</f>
        <v/>
      </c>
      <c r="Q9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4">
      <c r="A94" s="43" t="inlineStr">
        <is>
          <t>R093</t>
        </is>
      </c>
      <c r="B94" s="44" t="n">
        <v>46244</v>
      </c>
      <c r="C94" s="43" t="inlineStr">
        <is>
          <t>C1651</t>
        </is>
      </c>
      <c r="D94" s="43" t="inlineStr">
        <is>
          <t>GP</t>
        </is>
      </c>
      <c r="E94" s="43" t="inlineStr">
        <is>
          <t>Asian</t>
        </is>
      </c>
      <c r="F94" s="45" t="inlineStr">
        <is>
          <t>Routine</t>
        </is>
      </c>
      <c r="G94" s="45" t="inlineStr">
        <is>
          <t>No</t>
        </is>
      </c>
      <c r="H94" s="44" t="n">
        <v>46246</v>
      </c>
      <c r="I94" s="43" t="inlineStr">
        <is>
          <t>Phone</t>
        </is>
      </c>
      <c r="J94" s="43" t="inlineStr">
        <is>
          <t>Unable to contact</t>
        </is>
      </c>
      <c r="K94" s="45" t="inlineStr">
        <is>
          <t>Pending</t>
        </is>
      </c>
      <c r="L94" s="44" t="n"/>
      <c r="M94" s="45" t="inlineStr">
        <is>
          <t>No</t>
        </is>
      </c>
      <c r="N94" s="46">
        <f>IF(tblReferrals[[#This Row],[DateFirstContact]]="","",tblReferrals[[#This Row],[DateFirstContact]]-tblReferrals[[#This Row],[DateReceived]])</f>
        <v/>
      </c>
      <c r="O94" s="46">
        <f>IF(tblReferrals[[#This Row],[DateFirstContact]]="",Settings!$B$3-tblReferrals[[#This Row],[DateReceived]],"")</f>
        <v/>
      </c>
      <c r="P94" s="46">
        <f>IFERROR(INDEX(Settings!$B$6:$B$8,MATCH(tblReferrals[[#This Row],[PriorityLevel]],Settings!$A$6:$A$8,0)),"")</f>
        <v/>
      </c>
      <c r="Q9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5">
      <c r="A95" s="43" t="inlineStr">
        <is>
          <t>R094</t>
        </is>
      </c>
      <c r="B95" s="44" t="n">
        <v>46245</v>
      </c>
      <c r="C95" s="43" t="inlineStr">
        <is>
          <t>C1658</t>
        </is>
      </c>
      <c r="D95" s="43" t="inlineStr">
        <is>
          <t>Other health provider</t>
        </is>
      </c>
      <c r="E95" s="43" t="inlineStr">
        <is>
          <t>European</t>
        </is>
      </c>
      <c r="F95" s="45" t="inlineStr">
        <is>
          <t>Routine</t>
        </is>
      </c>
      <c r="G95" s="45" t="inlineStr">
        <is>
          <t>No</t>
        </is>
      </c>
      <c r="H95" s="44" t="n">
        <v>46253</v>
      </c>
      <c r="I95" s="43" t="inlineStr">
        <is>
          <t>Phone</t>
        </is>
      </c>
      <c r="J95" s="43" t="inlineStr">
        <is>
          <t>Contacted</t>
        </is>
      </c>
      <c r="K95" s="45" t="inlineStr">
        <is>
          <t>Pending</t>
        </is>
      </c>
      <c r="L95" s="44" t="n"/>
      <c r="M95" s="45" t="inlineStr">
        <is>
          <t>No</t>
        </is>
      </c>
      <c r="N95" s="46">
        <f>IF(tblReferrals[[#This Row],[DateFirstContact]]="","",tblReferrals[[#This Row],[DateFirstContact]]-tblReferrals[[#This Row],[DateReceived]])</f>
        <v/>
      </c>
      <c r="O95" s="46">
        <f>IF(tblReferrals[[#This Row],[DateFirstContact]]="",Settings!$B$3-tblReferrals[[#This Row],[DateReceived]],"")</f>
        <v/>
      </c>
      <c r="P95" s="46">
        <f>IFERROR(INDEX(Settings!$B$6:$B$8,MATCH(tblReferrals[[#This Row],[PriorityLevel]],Settings!$A$6:$A$8,0)),"")</f>
        <v/>
      </c>
      <c r="Q9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6">
      <c r="A96" s="43" t="inlineStr">
        <is>
          <t>R095</t>
        </is>
      </c>
      <c r="B96" s="44" t="n">
        <v>46245</v>
      </c>
      <c r="C96" s="43" t="inlineStr">
        <is>
          <t>C1665</t>
        </is>
      </c>
      <c r="D96" s="43" t="inlineStr">
        <is>
          <t>Midwife</t>
        </is>
      </c>
      <c r="E96" s="43" t="inlineStr">
        <is>
          <t>Asian</t>
        </is>
      </c>
      <c r="F96" s="45" t="inlineStr">
        <is>
          <t>Routine</t>
        </is>
      </c>
      <c r="G96" s="45" t="inlineStr">
        <is>
          <t>Yes</t>
        </is>
      </c>
      <c r="H96" s="44" t="n">
        <v>46251</v>
      </c>
      <c r="I96" s="43" t="inlineStr">
        <is>
          <t>Phone</t>
        </is>
      </c>
      <c r="J96" s="43" t="inlineStr">
        <is>
          <t>Enrolled</t>
        </is>
      </c>
      <c r="K96" s="45" t="inlineStr">
        <is>
          <t>Yes</t>
        </is>
      </c>
      <c r="L96" s="44" t="n">
        <v>46266</v>
      </c>
      <c r="M96" s="45" t="inlineStr">
        <is>
          <t>No</t>
        </is>
      </c>
      <c r="N96" s="46">
        <f>IF(tblReferrals[[#This Row],[DateFirstContact]]="","",tblReferrals[[#This Row],[DateFirstContact]]-tblReferrals[[#This Row],[DateReceived]])</f>
        <v/>
      </c>
      <c r="O96" s="46">
        <f>IF(tblReferrals[[#This Row],[DateFirstContact]]="",Settings!$B$3-tblReferrals[[#This Row],[DateReceived]],"")</f>
        <v/>
      </c>
      <c r="P96" s="46">
        <f>IFERROR(INDEX(Settings!$B$6:$B$8,MATCH(tblReferrals[[#This Row],[PriorityLevel]],Settings!$A$6:$A$8,0)),"")</f>
        <v/>
      </c>
      <c r="Q9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7">
      <c r="A97" s="43" t="inlineStr">
        <is>
          <t>R096</t>
        </is>
      </c>
      <c r="B97" s="44" t="n">
        <v>46246</v>
      </c>
      <c r="C97" s="43" t="inlineStr">
        <is>
          <t>C1672</t>
        </is>
      </c>
      <c r="D97" s="43" t="inlineStr">
        <is>
          <t>GP</t>
        </is>
      </c>
      <c r="E97" s="43" t="inlineStr">
        <is>
          <t>Māori</t>
        </is>
      </c>
      <c r="F97" s="45" t="inlineStr">
        <is>
          <t>High</t>
        </is>
      </c>
      <c r="G97" s="45" t="inlineStr">
        <is>
          <t>Yes</t>
        </is>
      </c>
      <c r="H97" s="44" t="n"/>
      <c r="I97" s="43" t="n"/>
      <c r="J97" s="43" t="inlineStr">
        <is>
          <t>New</t>
        </is>
      </c>
      <c r="K97" s="45" t="inlineStr">
        <is>
          <t>Pending</t>
        </is>
      </c>
      <c r="L97" s="44" t="n"/>
      <c r="M97" s="45" t="inlineStr">
        <is>
          <t>No</t>
        </is>
      </c>
      <c r="N97" s="46">
        <f>IF(tblReferrals[[#This Row],[DateFirstContact]]="","",tblReferrals[[#This Row],[DateFirstContact]]-tblReferrals[[#This Row],[DateReceived]])</f>
        <v/>
      </c>
      <c r="O97" s="46">
        <f>IF(tblReferrals[[#This Row],[DateFirstContact]]="",Settings!$B$3-tblReferrals[[#This Row],[DateReceived]],"")</f>
        <v/>
      </c>
      <c r="P97" s="46">
        <f>IFERROR(INDEX(Settings!$B$6:$B$8,MATCH(tblReferrals[[#This Row],[PriorityLevel]],Settings!$A$6:$A$8,0)),"")</f>
        <v/>
      </c>
      <c r="Q9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8">
      <c r="A98" s="43" t="inlineStr">
        <is>
          <t>R097</t>
        </is>
      </c>
      <c r="B98" s="44" t="n">
        <v>46246</v>
      </c>
      <c r="C98" s="43" t="inlineStr">
        <is>
          <t>C1679</t>
        </is>
      </c>
      <c r="D98" s="43" t="inlineStr">
        <is>
          <t>GP</t>
        </is>
      </c>
      <c r="E98" s="43" t="inlineStr">
        <is>
          <t>European</t>
        </is>
      </c>
      <c r="F98" s="45" t="inlineStr">
        <is>
          <t>Routine</t>
        </is>
      </c>
      <c r="G98" s="45" t="inlineStr">
        <is>
          <t>Yes</t>
        </is>
      </c>
      <c r="H98" s="44" t="n">
        <v>46255</v>
      </c>
      <c r="I98" s="43" t="inlineStr">
        <is>
          <t>Email</t>
        </is>
      </c>
      <c r="J98" s="43" t="inlineStr">
        <is>
          <t>Enrolled</t>
        </is>
      </c>
      <c r="K98" s="45" t="inlineStr">
        <is>
          <t>Yes</t>
        </is>
      </c>
      <c r="L98" s="44" t="n">
        <v>46267</v>
      </c>
      <c r="M98" s="45" t="inlineStr">
        <is>
          <t>No</t>
        </is>
      </c>
      <c r="N98" s="46">
        <f>IF(tblReferrals[[#This Row],[DateFirstContact]]="","",tblReferrals[[#This Row],[DateFirstContact]]-tblReferrals[[#This Row],[DateReceived]])</f>
        <v/>
      </c>
      <c r="O98" s="46">
        <f>IF(tblReferrals[[#This Row],[DateFirstContact]]="",Settings!$B$3-tblReferrals[[#This Row],[DateReceived]],"")</f>
        <v/>
      </c>
      <c r="P98" s="46">
        <f>IFERROR(INDEX(Settings!$B$6:$B$8,MATCH(tblReferrals[[#This Row],[PriorityLevel]],Settings!$A$6:$A$8,0)),"")</f>
        <v/>
      </c>
      <c r="Q9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99">
      <c r="A99" s="43" t="inlineStr">
        <is>
          <t>R098</t>
        </is>
      </c>
      <c r="B99" s="44" t="n">
        <v>46246</v>
      </c>
      <c r="C99" s="43" t="inlineStr">
        <is>
          <t>C1686</t>
        </is>
      </c>
      <c r="D99" s="43" t="inlineStr">
        <is>
          <t>Midwife</t>
        </is>
      </c>
      <c r="E99" s="43" t="inlineStr">
        <is>
          <t>Pacific</t>
        </is>
      </c>
      <c r="F99" s="45" t="n"/>
      <c r="G99" s="45" t="inlineStr">
        <is>
          <t>Yes</t>
        </is>
      </c>
      <c r="H99" s="44" t="n">
        <v>46248</v>
      </c>
      <c r="I99" s="43" t="inlineStr">
        <is>
          <t>Phone</t>
        </is>
      </c>
      <c r="J99" s="43" t="inlineStr">
        <is>
          <t>Awaiting info</t>
        </is>
      </c>
      <c r="K99" s="45" t="inlineStr">
        <is>
          <t>Pending</t>
        </is>
      </c>
      <c r="L99" s="44" t="n"/>
      <c r="M99" s="45" t="inlineStr">
        <is>
          <t>No</t>
        </is>
      </c>
      <c r="N99" s="46">
        <f>IF(tblReferrals[[#This Row],[DateFirstContact]]="","",tblReferrals[[#This Row],[DateFirstContact]]-tblReferrals[[#This Row],[DateReceived]])</f>
        <v/>
      </c>
      <c r="O99" s="46">
        <f>IF(tblReferrals[[#This Row],[DateFirstContact]]="",Settings!$B$3-tblReferrals[[#This Row],[DateReceived]],"")</f>
        <v/>
      </c>
      <c r="P99" s="46">
        <f>IFERROR(INDEX(Settings!$B$6:$B$8,MATCH(tblReferrals[[#This Row],[PriorityLevel]],Settings!$A$6:$A$8,0)),"")</f>
        <v/>
      </c>
      <c r="Q9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9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0">
      <c r="A100" s="43" t="inlineStr">
        <is>
          <t>R099</t>
        </is>
      </c>
      <c r="B100" s="44" t="n">
        <v>46247</v>
      </c>
      <c r="C100" s="43" t="inlineStr">
        <is>
          <t>C1693</t>
        </is>
      </c>
      <c r="D100" s="43" t="inlineStr">
        <is>
          <t>Community agency</t>
        </is>
      </c>
      <c r="E100" s="43" t="inlineStr">
        <is>
          <t>Māori</t>
        </is>
      </c>
      <c r="F100" s="45" t="inlineStr">
        <is>
          <t>Routine</t>
        </is>
      </c>
      <c r="G100" s="45" t="inlineStr">
        <is>
          <t>Yes</t>
        </is>
      </c>
      <c r="H100" s="44" t="n"/>
      <c r="I100" s="43" t="n"/>
      <c r="J100" s="43" t="inlineStr">
        <is>
          <t>New</t>
        </is>
      </c>
      <c r="K100" s="45" t="inlineStr">
        <is>
          <t>Pending</t>
        </is>
      </c>
      <c r="L100" s="44" t="n"/>
      <c r="M100" s="45" t="inlineStr">
        <is>
          <t>No</t>
        </is>
      </c>
      <c r="N100" s="46">
        <f>IF(tblReferrals[[#This Row],[DateFirstContact]]="","",tblReferrals[[#This Row],[DateFirstContact]]-tblReferrals[[#This Row],[DateReceived]])</f>
        <v/>
      </c>
      <c r="O100" s="46">
        <f>IF(tblReferrals[[#This Row],[DateFirstContact]]="",Settings!$B$3-tblReferrals[[#This Row],[DateReceived]],"")</f>
        <v/>
      </c>
      <c r="P100" s="46">
        <f>IFERROR(INDEX(Settings!$B$6:$B$8,MATCH(tblReferrals[[#This Row],[PriorityLevel]],Settings!$A$6:$A$8,0)),"")</f>
        <v/>
      </c>
      <c r="Q10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1">
      <c r="A101" s="43" t="inlineStr">
        <is>
          <t>R100</t>
        </is>
      </c>
      <c r="B101" s="44" t="n">
        <v>46247</v>
      </c>
      <c r="C101" s="43" t="inlineStr">
        <is>
          <t>C1700</t>
        </is>
      </c>
      <c r="D101" s="43" t="inlineStr">
        <is>
          <t>Hospital</t>
        </is>
      </c>
      <c r="E101" s="43" t="inlineStr">
        <is>
          <t>Pacific</t>
        </is>
      </c>
      <c r="F101" s="45" t="inlineStr">
        <is>
          <t>Urgent</t>
        </is>
      </c>
      <c r="G101" s="45" t="inlineStr">
        <is>
          <t>Yes</t>
        </is>
      </c>
      <c r="H101" s="44" t="n">
        <v>46248</v>
      </c>
      <c r="I101" s="43" t="inlineStr">
        <is>
          <t>Phone</t>
        </is>
      </c>
      <c r="J101" s="43" t="inlineStr">
        <is>
          <t>Consent pending</t>
        </is>
      </c>
      <c r="K101" s="45" t="inlineStr">
        <is>
          <t>Pending</t>
        </is>
      </c>
      <c r="L101" s="44" t="n"/>
      <c r="M101" s="45" t="inlineStr">
        <is>
          <t>Yes</t>
        </is>
      </c>
      <c r="N101" s="46">
        <f>IF(tblReferrals[[#This Row],[DateFirstContact]]="","",tblReferrals[[#This Row],[DateFirstContact]]-tblReferrals[[#This Row],[DateReceived]])</f>
        <v/>
      </c>
      <c r="O101" s="46">
        <f>IF(tblReferrals[[#This Row],[DateFirstContact]]="",Settings!$B$3-tblReferrals[[#This Row],[DateReceived]],"")</f>
        <v/>
      </c>
      <c r="P101" s="46">
        <f>IFERROR(INDEX(Settings!$B$6:$B$8,MATCH(tblReferrals[[#This Row],[PriorityLevel]],Settings!$A$6:$A$8,0)),"")</f>
        <v/>
      </c>
      <c r="Q10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2">
      <c r="A102" s="43" t="inlineStr">
        <is>
          <t>R101</t>
        </is>
      </c>
      <c r="B102" s="44" t="n">
        <v>46248</v>
      </c>
      <c r="C102" s="43" t="inlineStr">
        <is>
          <t>C1707</t>
        </is>
      </c>
      <c r="D102" s="43" t="n"/>
      <c r="E102" s="43" t="inlineStr">
        <is>
          <t>Māori</t>
        </is>
      </c>
      <c r="F102" s="45" t="inlineStr">
        <is>
          <t>Routine</t>
        </is>
      </c>
      <c r="G102" s="45" t="inlineStr">
        <is>
          <t>Yes</t>
        </is>
      </c>
      <c r="H102" s="44" t="n">
        <v>46255</v>
      </c>
      <c r="I102" s="43" t="inlineStr">
        <is>
          <t>Phone</t>
        </is>
      </c>
      <c r="J102" s="43" t="inlineStr">
        <is>
          <t>Awaiting info</t>
        </is>
      </c>
      <c r="K102" s="45" t="inlineStr">
        <is>
          <t>Pending</t>
        </is>
      </c>
      <c r="L102" s="44" t="n"/>
      <c r="M102" s="45" t="inlineStr">
        <is>
          <t>No</t>
        </is>
      </c>
      <c r="N102" s="46">
        <f>IF(tblReferrals[[#This Row],[DateFirstContact]]="","",tblReferrals[[#This Row],[DateFirstContact]]-tblReferrals[[#This Row],[DateReceived]])</f>
        <v/>
      </c>
      <c r="O102" s="46">
        <f>IF(tblReferrals[[#This Row],[DateFirstContact]]="",Settings!$B$3-tblReferrals[[#This Row],[DateReceived]],"")</f>
        <v/>
      </c>
      <c r="P102" s="46">
        <f>IFERROR(INDEX(Settings!$B$6:$B$8,MATCH(tblReferrals[[#This Row],[PriorityLevel]],Settings!$A$6:$A$8,0)),"")</f>
        <v/>
      </c>
      <c r="Q10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3">
      <c r="A103" s="43" t="inlineStr">
        <is>
          <t>R102</t>
        </is>
      </c>
      <c r="B103" s="44" t="n">
        <v>46248</v>
      </c>
      <c r="C103" s="43" t="inlineStr">
        <is>
          <t>C1714</t>
        </is>
      </c>
      <c r="D103" s="43" t="inlineStr">
        <is>
          <t>Midwife</t>
        </is>
      </c>
      <c r="E103" s="43" t="inlineStr">
        <is>
          <t>Māori</t>
        </is>
      </c>
      <c r="F103" s="45" t="inlineStr">
        <is>
          <t>Urgent</t>
        </is>
      </c>
      <c r="G103" s="45" t="inlineStr">
        <is>
          <t>No</t>
        </is>
      </c>
      <c r="H103" s="44" t="n">
        <v>46248</v>
      </c>
      <c r="I103" s="43" t="inlineStr">
        <is>
          <t>Phone</t>
        </is>
      </c>
      <c r="J103" s="43" t="inlineStr">
        <is>
          <t>Awaiting info</t>
        </is>
      </c>
      <c r="K103" s="45" t="inlineStr">
        <is>
          <t>Pending</t>
        </is>
      </c>
      <c r="L103" s="44" t="n"/>
      <c r="M103" s="45" t="inlineStr">
        <is>
          <t>No</t>
        </is>
      </c>
      <c r="N103" s="46">
        <f>IF(tblReferrals[[#This Row],[DateFirstContact]]="","",tblReferrals[[#This Row],[DateFirstContact]]-tblReferrals[[#This Row],[DateReceived]])</f>
        <v/>
      </c>
      <c r="O103" s="46">
        <f>IF(tblReferrals[[#This Row],[DateFirstContact]]="",Settings!$B$3-tblReferrals[[#This Row],[DateReceived]],"")</f>
        <v/>
      </c>
      <c r="P103" s="46">
        <f>IFERROR(INDEX(Settings!$B$6:$B$8,MATCH(tblReferrals[[#This Row],[PriorityLevel]],Settings!$A$6:$A$8,0)),"")</f>
        <v/>
      </c>
      <c r="Q10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4">
      <c r="A104" s="43" t="inlineStr">
        <is>
          <t>R103</t>
        </is>
      </c>
      <c r="B104" s="44" t="n">
        <v>46251</v>
      </c>
      <c r="C104" s="43" t="inlineStr">
        <is>
          <t>C1721</t>
        </is>
      </c>
      <c r="D104" s="43" t="inlineStr">
        <is>
          <t>Community agency</t>
        </is>
      </c>
      <c r="E104" s="43" t="inlineStr">
        <is>
          <t>European</t>
        </is>
      </c>
      <c r="F104" s="45" t="inlineStr">
        <is>
          <t>Routine</t>
        </is>
      </c>
      <c r="G104" s="45" t="inlineStr">
        <is>
          <t>Yes</t>
        </is>
      </c>
      <c r="H104" s="44" t="n">
        <v>46261</v>
      </c>
      <c r="I104" s="43" t="inlineStr">
        <is>
          <t>Phone</t>
        </is>
      </c>
      <c r="J104" s="43" t="inlineStr">
        <is>
          <t>Consent pending</t>
        </is>
      </c>
      <c r="K104" s="45" t="inlineStr">
        <is>
          <t>Pending</t>
        </is>
      </c>
      <c r="L104" s="44" t="n"/>
      <c r="M104" s="45" t="inlineStr">
        <is>
          <t>No</t>
        </is>
      </c>
      <c r="N104" s="46">
        <f>IF(tblReferrals[[#This Row],[DateFirstContact]]="","",tblReferrals[[#This Row],[DateFirstContact]]-tblReferrals[[#This Row],[DateReceived]])</f>
        <v/>
      </c>
      <c r="O104" s="46">
        <f>IF(tblReferrals[[#This Row],[DateFirstContact]]="",Settings!$B$3-tblReferrals[[#This Row],[DateReceived]],"")</f>
        <v/>
      </c>
      <c r="P104" s="46">
        <f>IFERROR(INDEX(Settings!$B$6:$B$8,MATCH(tblReferrals[[#This Row],[PriorityLevel]],Settings!$A$6:$A$8,0)),"")</f>
        <v/>
      </c>
      <c r="Q10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5">
      <c r="A105" s="43" t="inlineStr">
        <is>
          <t>R104</t>
        </is>
      </c>
      <c r="B105" s="44" t="n">
        <v>46252</v>
      </c>
      <c r="C105" s="43" t="inlineStr">
        <is>
          <t>C1728</t>
        </is>
      </c>
      <c r="D105" s="43" t="inlineStr">
        <is>
          <t>Midwife</t>
        </is>
      </c>
      <c r="E105" s="43" t="inlineStr">
        <is>
          <t>European</t>
        </is>
      </c>
      <c r="F105" s="45" t="inlineStr">
        <is>
          <t>High</t>
        </is>
      </c>
      <c r="G105" s="45" t="inlineStr">
        <is>
          <t>Yes</t>
        </is>
      </c>
      <c r="H105" s="44" t="n">
        <v>46254</v>
      </c>
      <c r="I105" s="43" t="inlineStr">
        <is>
          <t>Phone</t>
        </is>
      </c>
      <c r="J105" s="43" t="inlineStr">
        <is>
          <t>Unable to contact</t>
        </is>
      </c>
      <c r="K105" s="45" t="inlineStr">
        <is>
          <t>Pending</t>
        </is>
      </c>
      <c r="L105" s="44" t="n"/>
      <c r="M105" s="45" t="inlineStr">
        <is>
          <t>No</t>
        </is>
      </c>
      <c r="N105" s="46">
        <f>IF(tblReferrals[[#This Row],[DateFirstContact]]="","",tblReferrals[[#This Row],[DateFirstContact]]-tblReferrals[[#This Row],[DateReceived]])</f>
        <v/>
      </c>
      <c r="O105" s="46">
        <f>IF(tblReferrals[[#This Row],[DateFirstContact]]="",Settings!$B$3-tblReferrals[[#This Row],[DateReceived]],"")</f>
        <v/>
      </c>
      <c r="P105" s="46">
        <f>IFERROR(INDEX(Settings!$B$6:$B$8,MATCH(tblReferrals[[#This Row],[PriorityLevel]],Settings!$A$6:$A$8,0)),"")</f>
        <v/>
      </c>
      <c r="Q10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6">
      <c r="A106" s="43" t="inlineStr">
        <is>
          <t>R105</t>
        </is>
      </c>
      <c r="B106" s="44" t="n">
        <v>46253</v>
      </c>
      <c r="C106" s="43" t="inlineStr">
        <is>
          <t>C1735</t>
        </is>
      </c>
      <c r="D106" s="43" t="inlineStr">
        <is>
          <t>Midwife</t>
        </is>
      </c>
      <c r="E106" s="43" t="inlineStr">
        <is>
          <t>Asian</t>
        </is>
      </c>
      <c r="F106" s="45" t="inlineStr">
        <is>
          <t>Routine</t>
        </is>
      </c>
      <c r="G106" s="45" t="inlineStr">
        <is>
          <t>Yes</t>
        </is>
      </c>
      <c r="H106" s="44" t="n">
        <v>46259</v>
      </c>
      <c r="I106" s="43" t="inlineStr">
        <is>
          <t>Phone</t>
        </is>
      </c>
      <c r="J106" s="43" t="inlineStr">
        <is>
          <t>Consent pending</t>
        </is>
      </c>
      <c r="K106" s="45" t="inlineStr">
        <is>
          <t>Pending</t>
        </is>
      </c>
      <c r="L106" s="44" t="n">
        <v>46267</v>
      </c>
      <c r="M106" s="45" t="inlineStr">
        <is>
          <t>No</t>
        </is>
      </c>
      <c r="N106" s="46">
        <f>IF(tblReferrals[[#This Row],[DateFirstContact]]="","",tblReferrals[[#This Row],[DateFirstContact]]-tblReferrals[[#This Row],[DateReceived]])</f>
        <v/>
      </c>
      <c r="O106" s="46">
        <f>IF(tblReferrals[[#This Row],[DateFirstContact]]="",Settings!$B$3-tblReferrals[[#This Row],[DateReceived]],"")</f>
        <v/>
      </c>
      <c r="P106" s="46">
        <f>IFERROR(INDEX(Settings!$B$6:$B$8,MATCH(tblReferrals[[#This Row],[PriorityLevel]],Settings!$A$6:$A$8,0)),"")</f>
        <v/>
      </c>
      <c r="Q10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7">
      <c r="A107" s="43" t="inlineStr">
        <is>
          <t>R106</t>
        </is>
      </c>
      <c r="B107" s="44" t="n">
        <v>46253</v>
      </c>
      <c r="C107" s="43" t="inlineStr">
        <is>
          <t>C1742</t>
        </is>
      </c>
      <c r="D107" s="43" t="inlineStr">
        <is>
          <t>Midwife</t>
        </is>
      </c>
      <c r="E107" s="43" t="inlineStr">
        <is>
          <t>Pacific</t>
        </is>
      </c>
      <c r="F107" s="45" t="inlineStr">
        <is>
          <t>Routine</t>
        </is>
      </c>
      <c r="G107" s="45" t="inlineStr">
        <is>
          <t>Yes</t>
        </is>
      </c>
      <c r="H107" s="44" t="n">
        <v>46262</v>
      </c>
      <c r="I107" s="43" t="inlineStr">
        <is>
          <t>Phone</t>
        </is>
      </c>
      <c r="J107" s="43" t="inlineStr">
        <is>
          <t>Enrolled</t>
        </is>
      </c>
      <c r="K107" s="45" t="inlineStr">
        <is>
          <t>Yes</t>
        </is>
      </c>
      <c r="L107" s="44" t="n">
        <v>46268</v>
      </c>
      <c r="M107" s="45" t="inlineStr">
        <is>
          <t>No</t>
        </is>
      </c>
      <c r="N107" s="46">
        <f>IF(tblReferrals[[#This Row],[DateFirstContact]]="","",tblReferrals[[#This Row],[DateFirstContact]]-tblReferrals[[#This Row],[DateReceived]])</f>
        <v/>
      </c>
      <c r="O107" s="46">
        <f>IF(tblReferrals[[#This Row],[DateFirstContact]]="",Settings!$B$3-tblReferrals[[#This Row],[DateReceived]],"")</f>
        <v/>
      </c>
      <c r="P107" s="46">
        <f>IFERROR(INDEX(Settings!$B$6:$B$8,MATCH(tblReferrals[[#This Row],[PriorityLevel]],Settings!$A$6:$A$8,0)),"")</f>
        <v/>
      </c>
      <c r="Q10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8">
      <c r="A108" s="43" t="inlineStr">
        <is>
          <t>R107</t>
        </is>
      </c>
      <c r="B108" s="44" t="n">
        <v>46253</v>
      </c>
      <c r="C108" s="43" t="inlineStr">
        <is>
          <t>C1749</t>
        </is>
      </c>
      <c r="D108" s="43" t="inlineStr">
        <is>
          <t>Midwife</t>
        </is>
      </c>
      <c r="E108" s="43" t="inlineStr">
        <is>
          <t>European</t>
        </is>
      </c>
      <c r="F108" s="45" t="inlineStr">
        <is>
          <t>Routine</t>
        </is>
      </c>
      <c r="G108" s="45" t="inlineStr">
        <is>
          <t>Yes</t>
        </is>
      </c>
      <c r="H108" s="44" t="n">
        <v>46254</v>
      </c>
      <c r="I108" s="43" t="inlineStr">
        <is>
          <t>Email</t>
        </is>
      </c>
      <c r="J108" s="43" t="inlineStr">
        <is>
          <t>Declined</t>
        </is>
      </c>
      <c r="K108" s="45" t="inlineStr">
        <is>
          <t>No</t>
        </is>
      </c>
      <c r="L108" s="44" t="n"/>
      <c r="M108" s="45" t="inlineStr">
        <is>
          <t>No</t>
        </is>
      </c>
      <c r="N108" s="46">
        <f>IF(tblReferrals[[#This Row],[DateFirstContact]]="","",tblReferrals[[#This Row],[DateFirstContact]]-tblReferrals[[#This Row],[DateReceived]])</f>
        <v/>
      </c>
      <c r="O108" s="46">
        <f>IF(tblReferrals[[#This Row],[DateFirstContact]]="",Settings!$B$3-tblReferrals[[#This Row],[DateReceived]],"")</f>
        <v/>
      </c>
      <c r="P108" s="46">
        <f>IFERROR(INDEX(Settings!$B$6:$B$8,MATCH(tblReferrals[[#This Row],[PriorityLevel]],Settings!$A$6:$A$8,0)),"")</f>
        <v/>
      </c>
      <c r="Q10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09">
      <c r="A109" s="43" t="inlineStr">
        <is>
          <t>R108</t>
        </is>
      </c>
      <c r="B109" s="44" t="n">
        <v>46254</v>
      </c>
      <c r="C109" s="43" t="inlineStr">
        <is>
          <t>C1756</t>
        </is>
      </c>
      <c r="D109" s="43" t="inlineStr">
        <is>
          <t>Self-referral</t>
        </is>
      </c>
      <c r="E109" s="43" t="inlineStr">
        <is>
          <t>European</t>
        </is>
      </c>
      <c r="F109" s="45" t="inlineStr">
        <is>
          <t>Routine</t>
        </is>
      </c>
      <c r="G109" s="45" t="inlineStr">
        <is>
          <t>Yes</t>
        </is>
      </c>
      <c r="H109" s="44" t="n">
        <v>46261</v>
      </c>
      <c r="I109" s="43" t="inlineStr">
        <is>
          <t>In person</t>
        </is>
      </c>
      <c r="J109" s="43" t="inlineStr">
        <is>
          <t>Contacted</t>
        </is>
      </c>
      <c r="K109" s="45" t="inlineStr">
        <is>
          <t>Pending</t>
        </is>
      </c>
      <c r="L109" s="44" t="n"/>
      <c r="M109" s="45" t="inlineStr">
        <is>
          <t>No</t>
        </is>
      </c>
      <c r="N109" s="46">
        <f>IF(tblReferrals[[#This Row],[DateFirstContact]]="","",tblReferrals[[#This Row],[DateFirstContact]]-tblReferrals[[#This Row],[DateReceived]])</f>
        <v/>
      </c>
      <c r="O109" s="46">
        <f>IF(tblReferrals[[#This Row],[DateFirstContact]]="",Settings!$B$3-tblReferrals[[#This Row],[DateReceived]],"")</f>
        <v/>
      </c>
      <c r="P109" s="46">
        <f>IFERROR(INDEX(Settings!$B$6:$B$8,MATCH(tblReferrals[[#This Row],[PriorityLevel]],Settings!$A$6:$A$8,0)),"")</f>
        <v/>
      </c>
      <c r="Q10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0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0">
      <c r="A110" s="43" t="inlineStr">
        <is>
          <t>R109</t>
        </is>
      </c>
      <c r="B110" s="44" t="n">
        <v>46255</v>
      </c>
      <c r="C110" s="43" t="inlineStr">
        <is>
          <t>C1763</t>
        </is>
      </c>
      <c r="D110" s="43" t="inlineStr">
        <is>
          <t>GP</t>
        </is>
      </c>
      <c r="E110" s="43" t="inlineStr">
        <is>
          <t>Pacific</t>
        </is>
      </c>
      <c r="F110" s="45" t="inlineStr">
        <is>
          <t>Routine</t>
        </is>
      </c>
      <c r="G110" s="45" t="inlineStr">
        <is>
          <t>Yes</t>
        </is>
      </c>
      <c r="H110" s="44" t="n">
        <v>46265</v>
      </c>
      <c r="I110" s="43" t="inlineStr">
        <is>
          <t>Phone</t>
        </is>
      </c>
      <c r="J110" s="43" t="inlineStr">
        <is>
          <t>Enrolled</t>
        </is>
      </c>
      <c r="K110" s="45" t="inlineStr">
        <is>
          <t>Yes</t>
        </is>
      </c>
      <c r="L110" s="44" t="n">
        <v>46269</v>
      </c>
      <c r="M110" s="45" t="inlineStr">
        <is>
          <t>No</t>
        </is>
      </c>
      <c r="N110" s="46">
        <f>IF(tblReferrals[[#This Row],[DateFirstContact]]="","",tblReferrals[[#This Row],[DateFirstContact]]-tblReferrals[[#This Row],[DateReceived]])</f>
        <v/>
      </c>
      <c r="O110" s="46">
        <f>IF(tblReferrals[[#This Row],[DateFirstContact]]="",Settings!$B$3-tblReferrals[[#This Row],[DateReceived]],"")</f>
        <v/>
      </c>
      <c r="P110" s="46">
        <f>IFERROR(INDEX(Settings!$B$6:$B$8,MATCH(tblReferrals[[#This Row],[PriorityLevel]],Settings!$A$6:$A$8,0)),"")</f>
        <v/>
      </c>
      <c r="Q11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1">
      <c r="A111" s="43" t="inlineStr">
        <is>
          <t>R110</t>
        </is>
      </c>
      <c r="B111" s="44" t="n">
        <v>46255</v>
      </c>
      <c r="C111" s="43" t="inlineStr">
        <is>
          <t>C1770</t>
        </is>
      </c>
      <c r="D111" s="43" t="inlineStr">
        <is>
          <t>Community agency</t>
        </is>
      </c>
      <c r="E111" s="43" t="inlineStr">
        <is>
          <t>European</t>
        </is>
      </c>
      <c r="F111" s="45" t="inlineStr">
        <is>
          <t>Urgent</t>
        </is>
      </c>
      <c r="G111" s="45" t="inlineStr">
        <is>
          <t>Yes</t>
        </is>
      </c>
      <c r="H111" s="44" t="n">
        <v>46258</v>
      </c>
      <c r="I111" s="43" t="inlineStr">
        <is>
          <t>Text</t>
        </is>
      </c>
      <c r="J111" s="43" t="inlineStr">
        <is>
          <t>Unable to contact</t>
        </is>
      </c>
      <c r="K111" s="45" t="inlineStr">
        <is>
          <t>Pending</t>
        </is>
      </c>
      <c r="L111" s="44" t="n"/>
      <c r="M111" s="45" t="inlineStr">
        <is>
          <t>No</t>
        </is>
      </c>
      <c r="N111" s="46">
        <f>IF(tblReferrals[[#This Row],[DateFirstContact]]="","",tblReferrals[[#This Row],[DateFirstContact]]-tblReferrals[[#This Row],[DateReceived]])</f>
        <v/>
      </c>
      <c r="O111" s="46">
        <f>IF(tblReferrals[[#This Row],[DateFirstContact]]="",Settings!$B$3-tblReferrals[[#This Row],[DateReceived]],"")</f>
        <v/>
      </c>
      <c r="P111" s="46">
        <f>IFERROR(INDEX(Settings!$B$6:$B$8,MATCH(tblReferrals[[#This Row],[PriorityLevel]],Settings!$A$6:$A$8,0)),"")</f>
        <v/>
      </c>
      <c r="Q11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2">
      <c r="A112" s="43" t="inlineStr">
        <is>
          <t>R111</t>
        </is>
      </c>
      <c r="B112" s="44" t="n">
        <v>46255</v>
      </c>
      <c r="C112" s="43" t="inlineStr">
        <is>
          <t>C1777</t>
        </is>
      </c>
      <c r="D112" s="43" t="inlineStr">
        <is>
          <t>GP</t>
        </is>
      </c>
      <c r="E112" s="43" t="inlineStr">
        <is>
          <t>Māori</t>
        </is>
      </c>
      <c r="F112" s="45" t="n"/>
      <c r="G112" s="45" t="inlineStr">
        <is>
          <t>Yes</t>
        </is>
      </c>
      <c r="H112" s="44" t="n">
        <v>46260</v>
      </c>
      <c r="I112" s="43" t="inlineStr">
        <is>
          <t>Phone</t>
        </is>
      </c>
      <c r="J112" s="43" t="inlineStr">
        <is>
          <t>Contacted</t>
        </is>
      </c>
      <c r="K112" s="45" t="inlineStr">
        <is>
          <t>Pending</t>
        </is>
      </c>
      <c r="L112" s="44" t="n"/>
      <c r="M112" s="45" t="inlineStr">
        <is>
          <t>No</t>
        </is>
      </c>
      <c r="N112" s="46">
        <f>IF(tblReferrals[[#This Row],[DateFirstContact]]="","",tblReferrals[[#This Row],[DateFirstContact]]-tblReferrals[[#This Row],[DateReceived]])</f>
        <v/>
      </c>
      <c r="O112" s="46">
        <f>IF(tblReferrals[[#This Row],[DateFirstContact]]="",Settings!$B$3-tblReferrals[[#This Row],[DateReceived]],"")</f>
        <v/>
      </c>
      <c r="P112" s="46">
        <f>IFERROR(INDEX(Settings!$B$6:$B$8,MATCH(tblReferrals[[#This Row],[PriorityLevel]],Settings!$A$6:$A$8,0)),"")</f>
        <v/>
      </c>
      <c r="Q112"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2"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3">
      <c r="A113" s="43" t="inlineStr">
        <is>
          <t>R112</t>
        </is>
      </c>
      <c r="B113" s="44" t="n">
        <v>46258</v>
      </c>
      <c r="C113" s="43" t="inlineStr">
        <is>
          <t>C1784</t>
        </is>
      </c>
      <c r="D113" s="43" t="inlineStr">
        <is>
          <t>GP</t>
        </is>
      </c>
      <c r="E113" s="43" t="inlineStr">
        <is>
          <t>Other</t>
        </is>
      </c>
      <c r="F113" s="45" t="inlineStr">
        <is>
          <t>Routine</t>
        </is>
      </c>
      <c r="G113" s="45" t="inlineStr">
        <is>
          <t>Yes</t>
        </is>
      </c>
      <c r="H113" s="44" t="n">
        <v>46260</v>
      </c>
      <c r="I113" s="43" t="inlineStr">
        <is>
          <t>In person</t>
        </is>
      </c>
      <c r="J113" s="43" t="inlineStr">
        <is>
          <t>Contacted</t>
        </is>
      </c>
      <c r="K113" s="45" t="inlineStr">
        <is>
          <t>Pending</t>
        </is>
      </c>
      <c r="L113" s="44" t="n"/>
      <c r="M113" s="45" t="inlineStr">
        <is>
          <t>No</t>
        </is>
      </c>
      <c r="N113" s="46">
        <f>IF(tblReferrals[[#This Row],[DateFirstContact]]="","",tblReferrals[[#This Row],[DateFirstContact]]-tblReferrals[[#This Row],[DateReceived]])</f>
        <v/>
      </c>
      <c r="O113" s="46">
        <f>IF(tblReferrals[[#This Row],[DateFirstContact]]="",Settings!$B$3-tblReferrals[[#This Row],[DateReceived]],"")</f>
        <v/>
      </c>
      <c r="P113" s="46">
        <f>IFERROR(INDEX(Settings!$B$6:$B$8,MATCH(tblReferrals[[#This Row],[PriorityLevel]],Settings!$A$6:$A$8,0)),"")</f>
        <v/>
      </c>
      <c r="Q113"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3"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4">
      <c r="A114" s="43" t="inlineStr">
        <is>
          <t>R113</t>
        </is>
      </c>
      <c r="B114" s="44" t="n">
        <v>46258</v>
      </c>
      <c r="C114" s="43" t="inlineStr">
        <is>
          <t>C1791</t>
        </is>
      </c>
      <c r="D114" s="43" t="inlineStr">
        <is>
          <t>GP</t>
        </is>
      </c>
      <c r="E114" s="43" t="inlineStr">
        <is>
          <t>Asian</t>
        </is>
      </c>
      <c r="F114" s="45" t="inlineStr">
        <is>
          <t>Routine</t>
        </is>
      </c>
      <c r="G114" s="45" t="inlineStr">
        <is>
          <t>Yes</t>
        </is>
      </c>
      <c r="H114" s="44" t="n"/>
      <c r="I114" s="43" t="n"/>
      <c r="J114" s="43" t="inlineStr">
        <is>
          <t>New</t>
        </is>
      </c>
      <c r="K114" s="45" t="inlineStr">
        <is>
          <t>Pending</t>
        </is>
      </c>
      <c r="L114" s="44" t="n"/>
      <c r="M114" s="45" t="inlineStr">
        <is>
          <t>No</t>
        </is>
      </c>
      <c r="N114" s="46">
        <f>IF(tblReferrals[[#This Row],[DateFirstContact]]="","",tblReferrals[[#This Row],[DateFirstContact]]-tblReferrals[[#This Row],[DateReceived]])</f>
        <v/>
      </c>
      <c r="O114" s="46">
        <f>IF(tblReferrals[[#This Row],[DateFirstContact]]="",Settings!$B$3-tblReferrals[[#This Row],[DateReceived]],"")</f>
        <v/>
      </c>
      <c r="P114" s="46">
        <f>IFERROR(INDEX(Settings!$B$6:$B$8,MATCH(tblReferrals[[#This Row],[PriorityLevel]],Settings!$A$6:$A$8,0)),"")</f>
        <v/>
      </c>
      <c r="Q114"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4"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5">
      <c r="A115" s="43" t="inlineStr">
        <is>
          <t>R114</t>
        </is>
      </c>
      <c r="B115" s="44" t="n">
        <v>46258</v>
      </c>
      <c r="C115" s="43" t="inlineStr">
        <is>
          <t>C1798</t>
        </is>
      </c>
      <c r="D115" s="43" t="inlineStr">
        <is>
          <t>Self-referral</t>
        </is>
      </c>
      <c r="E115" s="43" t="n"/>
      <c r="F115" s="45" t="inlineStr">
        <is>
          <t>Routine</t>
        </is>
      </c>
      <c r="G115" s="45" t="inlineStr">
        <is>
          <t>No</t>
        </is>
      </c>
      <c r="H115" s="44" t="n">
        <v>46265</v>
      </c>
      <c r="I115" s="43" t="inlineStr">
        <is>
          <t>Text</t>
        </is>
      </c>
      <c r="J115" s="43" t="inlineStr">
        <is>
          <t>Awaiting info</t>
        </is>
      </c>
      <c r="K115" s="45" t="inlineStr">
        <is>
          <t>Pending</t>
        </is>
      </c>
      <c r="L115" s="44" t="n"/>
      <c r="M115" s="45" t="inlineStr">
        <is>
          <t>No</t>
        </is>
      </c>
      <c r="N115" s="46">
        <f>IF(tblReferrals[[#This Row],[DateFirstContact]]="","",tblReferrals[[#This Row],[DateFirstContact]]-tblReferrals[[#This Row],[DateReceived]])</f>
        <v/>
      </c>
      <c r="O115" s="46">
        <f>IF(tblReferrals[[#This Row],[DateFirstContact]]="",Settings!$B$3-tblReferrals[[#This Row],[DateReceived]],"")</f>
        <v/>
      </c>
      <c r="P115" s="46">
        <f>IFERROR(INDEX(Settings!$B$6:$B$8,MATCH(tblReferrals[[#This Row],[PriorityLevel]],Settings!$A$6:$A$8,0)),"")</f>
        <v/>
      </c>
      <c r="Q115"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5"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6">
      <c r="A116" s="43" t="inlineStr">
        <is>
          <t>R115</t>
        </is>
      </c>
      <c r="B116" s="44" t="n">
        <v>46258</v>
      </c>
      <c r="C116" s="43" t="inlineStr">
        <is>
          <t>C1805</t>
        </is>
      </c>
      <c r="D116" s="43" t="inlineStr">
        <is>
          <t>Hospital</t>
        </is>
      </c>
      <c r="E116" s="43" t="inlineStr">
        <is>
          <t>Other</t>
        </is>
      </c>
      <c r="F116" s="45" t="inlineStr">
        <is>
          <t>Routine</t>
        </is>
      </c>
      <c r="G116" s="45" t="inlineStr">
        <is>
          <t>Yes</t>
        </is>
      </c>
      <c r="H116" s="44" t="n">
        <v>46261</v>
      </c>
      <c r="I116" s="43" t="inlineStr">
        <is>
          <t>Text</t>
        </is>
      </c>
      <c r="J116" s="43" t="inlineStr">
        <is>
          <t>Enrolled</t>
        </is>
      </c>
      <c r="K116" s="45" t="inlineStr">
        <is>
          <t>Yes</t>
        </is>
      </c>
      <c r="L116" s="44" t="n">
        <v>46279</v>
      </c>
      <c r="M116" s="45" t="inlineStr">
        <is>
          <t>No</t>
        </is>
      </c>
      <c r="N116" s="46">
        <f>IF(tblReferrals[[#This Row],[DateFirstContact]]="","",tblReferrals[[#This Row],[DateFirstContact]]-tblReferrals[[#This Row],[DateReceived]])</f>
        <v/>
      </c>
      <c r="O116" s="46">
        <f>IF(tblReferrals[[#This Row],[DateFirstContact]]="",Settings!$B$3-tblReferrals[[#This Row],[DateReceived]],"")</f>
        <v/>
      </c>
      <c r="P116" s="46">
        <f>IFERROR(INDEX(Settings!$B$6:$B$8,MATCH(tblReferrals[[#This Row],[PriorityLevel]],Settings!$A$6:$A$8,0)),"")</f>
        <v/>
      </c>
      <c r="Q116"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6"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7">
      <c r="A117" s="43" t="inlineStr">
        <is>
          <t>R116</t>
        </is>
      </c>
      <c r="B117" s="44" t="n">
        <v>46260</v>
      </c>
      <c r="C117" s="43" t="inlineStr">
        <is>
          <t>C1812</t>
        </is>
      </c>
      <c r="D117" s="43" t="inlineStr">
        <is>
          <t>GP</t>
        </is>
      </c>
      <c r="E117" s="43" t="inlineStr">
        <is>
          <t>Māori</t>
        </is>
      </c>
      <c r="F117" s="45" t="inlineStr">
        <is>
          <t>Urgent</t>
        </is>
      </c>
      <c r="G117" s="45" t="inlineStr">
        <is>
          <t>Yes</t>
        </is>
      </c>
      <c r="H117" s="44" t="n">
        <v>46261</v>
      </c>
      <c r="I117" s="43" t="inlineStr">
        <is>
          <t>Phone</t>
        </is>
      </c>
      <c r="J117" s="43" t="inlineStr">
        <is>
          <t>Awaiting info</t>
        </is>
      </c>
      <c r="K117" s="45" t="inlineStr">
        <is>
          <t>Pending</t>
        </is>
      </c>
      <c r="L117" s="44" t="n"/>
      <c r="M117" s="45" t="inlineStr">
        <is>
          <t>Yes</t>
        </is>
      </c>
      <c r="N117" s="46">
        <f>IF(tblReferrals[[#This Row],[DateFirstContact]]="","",tblReferrals[[#This Row],[DateFirstContact]]-tblReferrals[[#This Row],[DateReceived]])</f>
        <v/>
      </c>
      <c r="O117" s="46">
        <f>IF(tblReferrals[[#This Row],[DateFirstContact]]="",Settings!$B$3-tblReferrals[[#This Row],[DateReceived]],"")</f>
        <v/>
      </c>
      <c r="P117" s="46">
        <f>IFERROR(INDEX(Settings!$B$6:$B$8,MATCH(tblReferrals[[#This Row],[PriorityLevel]],Settings!$A$6:$A$8,0)),"")</f>
        <v/>
      </c>
      <c r="Q117"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7"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8">
      <c r="A118" s="43" t="inlineStr">
        <is>
          <t>R117</t>
        </is>
      </c>
      <c r="B118" s="44" t="n">
        <v>46260</v>
      </c>
      <c r="C118" s="43" t="inlineStr">
        <is>
          <t>C1819</t>
        </is>
      </c>
      <c r="D118" s="43" t="n"/>
      <c r="E118" s="43" t="inlineStr">
        <is>
          <t>European</t>
        </is>
      </c>
      <c r="F118" s="45" t="inlineStr">
        <is>
          <t>Routine</t>
        </is>
      </c>
      <c r="G118" s="45" t="inlineStr">
        <is>
          <t>Yes</t>
        </is>
      </c>
      <c r="H118" s="44" t="n"/>
      <c r="I118" s="43" t="n"/>
      <c r="J118" s="43" t="inlineStr">
        <is>
          <t>New</t>
        </is>
      </c>
      <c r="K118" s="45" t="inlineStr">
        <is>
          <t>Pending</t>
        </is>
      </c>
      <c r="L118" s="44" t="n"/>
      <c r="M118" s="45" t="inlineStr">
        <is>
          <t>No</t>
        </is>
      </c>
      <c r="N118" s="46">
        <f>IF(tblReferrals[[#This Row],[DateFirstContact]]="","",tblReferrals[[#This Row],[DateFirstContact]]-tblReferrals[[#This Row],[DateReceived]])</f>
        <v/>
      </c>
      <c r="O118" s="46">
        <f>IF(tblReferrals[[#This Row],[DateFirstContact]]="",Settings!$B$3-tblReferrals[[#This Row],[DateReceived]],"")</f>
        <v/>
      </c>
      <c r="P118" s="46">
        <f>IFERROR(INDEX(Settings!$B$6:$B$8,MATCH(tblReferrals[[#This Row],[PriorityLevel]],Settings!$A$6:$A$8,0)),"")</f>
        <v/>
      </c>
      <c r="Q118"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8"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19">
      <c r="A119" s="43" t="inlineStr">
        <is>
          <t>R118</t>
        </is>
      </c>
      <c r="B119" s="44" t="n">
        <v>46261</v>
      </c>
      <c r="C119" s="43" t="inlineStr">
        <is>
          <t>C1826</t>
        </is>
      </c>
      <c r="D119" s="43" t="inlineStr">
        <is>
          <t>GP</t>
        </is>
      </c>
      <c r="E119" s="43" t="inlineStr">
        <is>
          <t>Pacific</t>
        </is>
      </c>
      <c r="F119" s="45" t="inlineStr">
        <is>
          <t>High</t>
        </is>
      </c>
      <c r="G119" s="45" t="inlineStr">
        <is>
          <t>Yes</t>
        </is>
      </c>
      <c r="H119" s="44" t="n"/>
      <c r="I119" s="43" t="n"/>
      <c r="J119" s="43" t="inlineStr">
        <is>
          <t>New</t>
        </is>
      </c>
      <c r="K119" s="45" t="inlineStr">
        <is>
          <t>Pending</t>
        </is>
      </c>
      <c r="L119" s="44" t="n"/>
      <c r="M119" s="45" t="inlineStr">
        <is>
          <t>No</t>
        </is>
      </c>
      <c r="N119" s="46">
        <f>IF(tblReferrals[[#This Row],[DateFirstContact]]="","",tblReferrals[[#This Row],[DateFirstContact]]-tblReferrals[[#This Row],[DateReceived]])</f>
        <v/>
      </c>
      <c r="O119" s="46">
        <f>IF(tblReferrals[[#This Row],[DateFirstContact]]="",Settings!$B$3-tblReferrals[[#This Row],[DateReceived]],"")</f>
        <v/>
      </c>
      <c r="P119" s="46">
        <f>IFERROR(INDEX(Settings!$B$6:$B$8,MATCH(tblReferrals[[#This Row],[PriorityLevel]],Settings!$A$6:$A$8,0)),"")</f>
        <v/>
      </c>
      <c r="Q119"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19"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20">
      <c r="A120" s="43" t="inlineStr">
        <is>
          <t>R119</t>
        </is>
      </c>
      <c r="B120" s="44" t="n">
        <v>46262</v>
      </c>
      <c r="C120" s="43" t="inlineStr">
        <is>
          <t>C1833</t>
        </is>
      </c>
      <c r="D120" s="43" t="inlineStr">
        <is>
          <t>GP</t>
        </is>
      </c>
      <c r="E120" s="43" t="inlineStr">
        <is>
          <t>European</t>
        </is>
      </c>
      <c r="F120" s="45" t="inlineStr">
        <is>
          <t>Urgent</t>
        </is>
      </c>
      <c r="G120" s="45" t="inlineStr">
        <is>
          <t>Yes</t>
        </is>
      </c>
      <c r="H120" s="44" t="n">
        <v>46265</v>
      </c>
      <c r="I120" s="43" t="inlineStr">
        <is>
          <t>Phone</t>
        </is>
      </c>
      <c r="J120" s="43" t="inlineStr">
        <is>
          <t>Awaiting info</t>
        </is>
      </c>
      <c r="K120" s="45" t="inlineStr">
        <is>
          <t>Pending</t>
        </is>
      </c>
      <c r="L120" s="44" t="n"/>
      <c r="M120" s="45" t="inlineStr">
        <is>
          <t>Yes</t>
        </is>
      </c>
      <c r="N120" s="46">
        <f>IF(tblReferrals[[#This Row],[DateFirstContact]]="","",tblReferrals[[#This Row],[DateFirstContact]]-tblReferrals[[#This Row],[DateReceived]])</f>
        <v/>
      </c>
      <c r="O120" s="46">
        <f>IF(tblReferrals[[#This Row],[DateFirstContact]]="",Settings!$B$3-tblReferrals[[#This Row],[DateReceived]],"")</f>
        <v/>
      </c>
      <c r="P120" s="46">
        <f>IFERROR(INDEX(Settings!$B$6:$B$8,MATCH(tblReferrals[[#This Row],[PriorityLevel]],Settings!$A$6:$A$8,0)),"")</f>
        <v/>
      </c>
      <c r="Q120"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20"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row r="121">
      <c r="A121" s="43" t="inlineStr">
        <is>
          <t>R120</t>
        </is>
      </c>
      <c r="B121" s="44" t="n">
        <v>46262</v>
      </c>
      <c r="C121" s="43" t="inlineStr">
        <is>
          <t>C1511</t>
        </is>
      </c>
      <c r="D121" s="43" t="inlineStr">
        <is>
          <t>Midwife</t>
        </is>
      </c>
      <c r="E121" s="43" t="inlineStr">
        <is>
          <t>Other</t>
        </is>
      </c>
      <c r="F121" s="45" t="inlineStr">
        <is>
          <t>High</t>
        </is>
      </c>
      <c r="G121" s="45" t="inlineStr">
        <is>
          <t>Yes</t>
        </is>
      </c>
      <c r="H121" s="44" t="n"/>
      <c r="I121" s="43" t="n"/>
      <c r="J121" s="43" t="inlineStr">
        <is>
          <t>New</t>
        </is>
      </c>
      <c r="K121" s="45" t="inlineStr">
        <is>
          <t>Pending</t>
        </is>
      </c>
      <c r="L121" s="44" t="n"/>
      <c r="M121" s="45" t="inlineStr">
        <is>
          <t>No</t>
        </is>
      </c>
      <c r="N121" s="46">
        <f>IF(tblReferrals[[#This Row],[DateFirstContact]]="","",tblReferrals[[#This Row],[DateFirstContact]]-tblReferrals[[#This Row],[DateReceived]])</f>
        <v/>
      </c>
      <c r="O121" s="46">
        <f>IF(tblReferrals[[#This Row],[DateFirstContact]]="",Settings!$B$3-tblReferrals[[#This Row],[DateReceived]],"")</f>
        <v/>
      </c>
      <c r="P121" s="46">
        <f>IFERROR(INDEX(Settings!$B$6:$B$8,MATCH(tblReferrals[[#This Row],[PriorityLevel]],Settings!$A$6:$A$8,0)),"")</f>
        <v/>
      </c>
      <c r="Q121" s="43">
        <f>IF(tblReferrals[[#This Row],[TargetDays]]="","Check priority",IF(tblReferrals[[#This Row],[DateFirstContact]]="",IF(tblReferrals[[#This Row],[DaysWaiting]]&gt;tblReferrals[[#This Row],[TargetDays]],"Overdue - not contacted","Within target - awaiting contact"),IF(tblReferrals[[#This Row],[DaysToContact]]&lt;0,"Check dates",IF(tblReferrals[[#This Row],[DaysToContact]]&lt;=tblReferrals[[#This Row],[TargetDays]],"Contacted within target","Contacted late"))))</f>
        <v/>
      </c>
      <c r="R121" s="43">
        <f>IF(tblReferrals[[#This Row],[PriorityLevel]]="","Missing priority",IF(tblReferrals[[#This Row],[ReferrerType]]="","Missing referrer type",IF(AND(tblReferrals[[#This Row],[DateFirstContact]]&lt;&gt;"",tblReferrals[[#This Row],[DaysToContact]]&lt;0),"Contact before received",IF(AND(tblReferrals[[#This Row],[Status]]="Enrolled",tblReferrals[[#This Row],[ConsentObtained]]&lt;&gt;"Yes"),"Enrolled without consent",IF(COUNTIF(tblReferrals[ClientCode],tblReferrals[[#This Row],[ClientCode]])&gt;1,"Possible duplicate client",IF(tblReferrals[[#This Row],[Ethnicity]]="","Ethnicity not recorded","OK"))))))</f>
        <v/>
      </c>
    </row>
  </sheetData>
  <dataValidations count="3">
    <dataValidation sqref="F32:F121" showDropDown="0" showInputMessage="1" showErrorMessage="1" allowBlank="1" type="list">
      <formula1>"Urgent, High, Routine"</formula1>
    </dataValidation>
    <dataValidation sqref="J25:J121" showDropDown="0" showInputMessage="1" showErrorMessage="1" allowBlank="1" type="list">
      <formula1>"New,Contacted,Awaiting info,Consent pending,Enrolled,Unable to contact,Declined"</formula1>
    </dataValidation>
    <dataValidation sqref="K2:K121" showDropDown="0" showInputMessage="1" showErrorMessage="1" allowBlank="1" type="list">
      <formula1>"Yes,No,Pending"</formula1>
    </dataValidation>
  </dataValidations>
  <pageMargins left="0.75" right="0.75" top="1" bottom="1" header="0.5" footer="0.5"/>
  <pageSetup orientation="landscape" paperSize="8" scale="66" fitToHeight="0"/>
  <tableParts count="1">
    <tablePart xmlns:r="http://schemas.openxmlformats.org/officeDocument/2006/relationships" r:id="rId1"/>
  </tableParts>
</worksheet>
</file>

<file path=xl/worksheets/sheet3.xml><?xml version="1.0" encoding="utf-8"?>
<worksheet xmlns="http://schemas.openxmlformats.org/spreadsheetml/2006/main">
  <sheetPr>
    <tabColor rgb="008EA9DB"/>
    <outlinePr summaryBelow="1" summaryRight="1"/>
    <pageSetUpPr/>
  </sheetPr>
  <dimension ref="A1:B18"/>
  <sheetViews>
    <sheetView showGridLines="0" tabSelected="0" workbookViewId="0">
      <selection activeCell="D18" sqref="D18"/>
    </sheetView>
  </sheetViews>
  <sheetFormatPr baseColWidth="8" defaultRowHeight="14.4"/>
  <cols>
    <col width="34" customWidth="1" min="1" max="1"/>
    <col width="12" customWidth="1" min="2" max="2"/>
  </cols>
  <sheetData>
    <row r="1">
      <c r="A1" s="20" t="inlineStr">
        <is>
          <t>Data checks</t>
        </is>
      </c>
    </row>
    <row r="2" ht="20" customHeight="1">
      <c r="A2" s="30" t="inlineStr">
        <is>
          <t>Contact status</t>
        </is>
      </c>
      <c r="B2" s="31" t="inlineStr">
        <is>
          <t>Count</t>
        </is>
      </c>
    </row>
    <row r="3">
      <c r="A3" s="34" t="inlineStr">
        <is>
          <t>Contacted within target</t>
        </is>
      </c>
      <c r="B3" s="33">
        <f>COUNTIF(tblReferrals[ContactStatus], A3)</f>
        <v/>
      </c>
    </row>
    <row r="4">
      <c r="A4" s="34" t="inlineStr">
        <is>
          <t>Contacted late</t>
        </is>
      </c>
      <c r="B4" s="33">
        <f>COUNTIF(tblReferrals[ContactStatus], A4)</f>
        <v/>
      </c>
    </row>
    <row r="5">
      <c r="A5" s="34" t="inlineStr">
        <is>
          <t>Overdue - not contacted</t>
        </is>
      </c>
      <c r="B5" s="33">
        <f>COUNTIF(tblReferrals[ContactStatus], A5)</f>
        <v/>
      </c>
    </row>
    <row r="6">
      <c r="A6" s="34" t="inlineStr">
        <is>
          <t>Within target - awaiting contact</t>
        </is>
      </c>
      <c r="B6" s="33">
        <f>COUNTIF(tblReferrals[ContactStatus], A6)</f>
        <v/>
      </c>
    </row>
    <row r="7">
      <c r="A7" s="34" t="inlineStr">
        <is>
          <t>Check priority</t>
        </is>
      </c>
      <c r="B7" s="33">
        <f>COUNTIF(tblReferrals[ContactStatus], A7)</f>
        <v/>
      </c>
    </row>
    <row r="8">
      <c r="A8" s="34" t="inlineStr">
        <is>
          <t>Check dates</t>
        </is>
      </c>
      <c r="B8" s="33">
        <f>COUNTIF(tblReferrals[ContactStatus], A8)</f>
        <v/>
      </c>
    </row>
    <row r="11" ht="20" customHeight="1">
      <c r="A11" s="30" t="inlineStr">
        <is>
          <t>Quality flag</t>
        </is>
      </c>
      <c r="B11" s="31" t="inlineStr">
        <is>
          <t>Count</t>
        </is>
      </c>
    </row>
    <row r="12">
      <c r="A12" s="34" t="inlineStr">
        <is>
          <t>OK</t>
        </is>
      </c>
      <c r="B12" s="33">
        <f>COUNTIF(tblReferrals[QualityFlag],A12)</f>
        <v/>
      </c>
    </row>
    <row r="13">
      <c r="A13" s="34" t="inlineStr">
        <is>
          <t>Ethnicity not recorded</t>
        </is>
      </c>
      <c r="B13" s="33">
        <f>COUNTIF(tblReferrals[QualityFlag],A13)</f>
        <v/>
      </c>
    </row>
    <row r="14">
      <c r="A14" s="34" t="inlineStr">
        <is>
          <t>Possible duplicate client</t>
        </is>
      </c>
      <c r="B14" s="33">
        <f>COUNTIF(tblReferrals[QualityFlag],A14)</f>
        <v/>
      </c>
    </row>
    <row r="15">
      <c r="A15" s="34" t="inlineStr">
        <is>
          <t>Missing priority</t>
        </is>
      </c>
      <c r="B15" s="33">
        <f>COUNTIF(tblReferrals[QualityFlag],A15)</f>
        <v/>
      </c>
    </row>
    <row r="16">
      <c r="A16" s="34" t="inlineStr">
        <is>
          <t>Missing referrer type</t>
        </is>
      </c>
      <c r="B16" s="33">
        <f>COUNTIF(tblReferrals[QualityFlag],A16)</f>
        <v/>
      </c>
    </row>
    <row r="17">
      <c r="A17" s="34" t="inlineStr">
        <is>
          <t>Enrolled without consent</t>
        </is>
      </c>
      <c r="B17" s="33">
        <f>COUNTIF(tblReferrals[QualityFlag],A17)</f>
        <v/>
      </c>
    </row>
    <row r="18">
      <c r="A18" s="34" t="inlineStr">
        <is>
          <t>Contact before received</t>
        </is>
      </c>
      <c r="B18" s="33">
        <f>COUNTIF(tblReferrals[QualityFlag],A18)</f>
        <v/>
      </c>
    </row>
  </sheetData>
  <pageMargins left="0.7" right="0.7" top="0.75" bottom="0.75" header="0.3" footer="0.3"/>
</worksheet>
</file>

<file path=xl/worksheets/sheet4.xml><?xml version="1.0" encoding="utf-8"?>
<worksheet xmlns="http://schemas.openxmlformats.org/spreadsheetml/2006/main">
  <sheetPr>
    <tabColor rgb="00BF8F00"/>
    <outlinePr summaryBelow="1" summaryRight="1"/>
    <pageSetUpPr/>
  </sheetPr>
  <dimension ref="A1:B13"/>
  <sheetViews>
    <sheetView showGridLines="0" tabSelected="0" workbookViewId="0">
      <selection activeCell="C23" sqref="C23"/>
    </sheetView>
  </sheetViews>
  <sheetFormatPr baseColWidth="8" defaultRowHeight="14.4"/>
  <cols>
    <col width="36" customWidth="1" min="1" max="1"/>
    <col width="18" bestFit="1" customWidth="1" min="2" max="2"/>
  </cols>
  <sheetData>
    <row r="1">
      <c r="A1" s="20" t="inlineStr">
        <is>
          <t>Assumptions (edit here)</t>
        </is>
      </c>
    </row>
    <row r="2">
      <c r="A2" s="21" t="inlineStr">
        <is>
          <t>Yellow cells are inputs; every calculation reads from them.</t>
        </is>
      </c>
    </row>
    <row r="3">
      <c r="A3" s="43" t="inlineStr">
        <is>
          <t>As-at date</t>
        </is>
      </c>
      <c r="B3" s="47" t="n">
        <v>46265</v>
      </c>
    </row>
    <row r="5" ht="30" customHeight="1">
      <c r="A5" s="30" t="inlineStr">
        <is>
          <t>Priority</t>
        </is>
      </c>
      <c r="B5" s="31" t="inlineStr">
        <is>
          <t>Target days to first contact</t>
        </is>
      </c>
    </row>
    <row r="6">
      <c r="A6" s="43" t="inlineStr">
        <is>
          <t>Urgent</t>
        </is>
      </c>
      <c r="B6" s="48" t="n">
        <v>1</v>
      </c>
    </row>
    <row r="7">
      <c r="A7" s="43" t="inlineStr">
        <is>
          <t>High</t>
        </is>
      </c>
      <c r="B7" s="48" t="n">
        <v>3</v>
      </c>
    </row>
    <row r="8">
      <c r="A8" s="43" t="inlineStr">
        <is>
          <t>Routine</t>
        </is>
      </c>
      <c r="B8" s="48" t="n">
        <v>7</v>
      </c>
    </row>
    <row r="10">
      <c r="A10" s="21" t="inlineStr">
        <is>
          <t>Targets are assumed (calendar days), not from a real service</t>
        </is>
      </c>
    </row>
    <row r="12">
      <c r="A12" s="43" t="inlineStr">
        <is>
          <t>Target: % contacted within target</t>
        </is>
      </c>
      <c r="B12" s="49" t="n">
        <v>0.8</v>
      </c>
    </row>
    <row r="13">
      <c r="A13" s="43" t="inlineStr">
        <is>
          <t>Target: % records passing checks</t>
        </is>
      </c>
      <c r="B13" s="49" t="n">
        <v>0.95</v>
      </c>
    </row>
  </sheetData>
  <pageMargins left="0.7" right="0.7" top="0.75" bottom="0.75" header="0.3" footer="0.3"/>
</worksheet>
</file>

<file path=xl/worksheets/sheet5.xml><?xml version="1.0" encoding="utf-8"?>
<worksheet xmlns="http://schemas.openxmlformats.org/spreadsheetml/2006/main">
  <sheetPr>
    <tabColor rgb="0070AD47"/>
    <outlinePr summaryBelow="1" summaryRight="1"/>
    <pageSetUpPr/>
  </sheetPr>
  <dimension ref="A1:C11"/>
  <sheetViews>
    <sheetView showGridLines="0" tabSelected="0" workbookViewId="0">
      <selection activeCell="A8" sqref="A8"/>
    </sheetView>
  </sheetViews>
  <sheetFormatPr baseColWidth="8" defaultRowHeight="14.4"/>
  <cols>
    <col width="6" customWidth="1" min="1" max="1"/>
    <col width="66" customWidth="1" min="2" max="2"/>
    <col width="10" customWidth="1" min="3" max="3"/>
  </cols>
  <sheetData>
    <row r="1">
      <c r="A1" s="20" t="inlineStr">
        <is>
          <t>Enrolment checklist</t>
        </is>
      </c>
    </row>
    <row r="2"/>
    <row r="3" ht="20" customHeight="1">
      <c r="A3" s="50" t="inlineStr">
        <is>
          <t>#</t>
        </is>
      </c>
      <c r="B3" s="30" t="inlineStr">
        <is>
          <t>Step</t>
        </is>
      </c>
      <c r="C3" s="50" t="inlineStr">
        <is>
          <t>Done</t>
        </is>
      </c>
    </row>
    <row r="4" ht="22" customHeight="1">
      <c r="A4" s="51" t="n">
        <v>1</v>
      </c>
      <c r="B4" s="52" t="inlineStr">
        <is>
          <t>Explained what the service offers and what enrolment involves.</t>
        </is>
      </c>
      <c r="C4" s="53" t="inlineStr">
        <is>
          <t>☐</t>
        </is>
      </c>
    </row>
    <row r="5" ht="22" customHeight="1">
      <c r="A5" s="51" t="n">
        <v>2</v>
      </c>
      <c r="B5" s="52" t="inlineStr">
        <is>
          <t>Whānau or support person involved, if the client wishes.</t>
        </is>
      </c>
      <c r="C5" s="53" t="inlineStr">
        <is>
          <t>☐</t>
        </is>
      </c>
    </row>
    <row r="6" ht="22" customHeight="1">
      <c r="A6" s="51" t="n">
        <v>3</v>
      </c>
      <c r="B6" s="52" t="inlineStr">
        <is>
          <t>Client's preferred name, and its pronunciation, recorded.</t>
        </is>
      </c>
      <c r="C6" s="53" t="inlineStr">
        <is>
          <t>☐</t>
        </is>
      </c>
    </row>
    <row r="7" ht="22" customHeight="1">
      <c r="A7" s="51" t="n">
        <v>4</v>
      </c>
      <c r="B7" s="52" t="inlineStr">
        <is>
          <t>Preferred contact method and time recorded.</t>
        </is>
      </c>
      <c r="C7" s="53" t="inlineStr">
        <is>
          <t>☐</t>
        </is>
      </c>
    </row>
    <row r="8" ht="22" customHeight="1">
      <c r="A8" s="51" t="n">
        <v>5</v>
      </c>
      <c r="B8" s="52" t="inlineStr">
        <is>
          <t>Consent explained in plain language and questions answered.</t>
        </is>
      </c>
      <c r="C8" s="53" t="inlineStr">
        <is>
          <t>☐</t>
        </is>
      </c>
    </row>
    <row r="9" ht="22" customHeight="1">
      <c r="A9" s="51" t="n">
        <v>6</v>
      </c>
      <c r="B9" s="52" t="inlineStr">
        <is>
          <t>Consent recorded (verbal or written) with the date.</t>
        </is>
      </c>
      <c r="C9" s="53" t="inlineStr">
        <is>
          <t>☐</t>
        </is>
      </c>
    </row>
    <row r="10" ht="22" customHeight="1">
      <c r="A10" s="51" t="n">
        <v>7</v>
      </c>
      <c r="B10" s="52" t="inlineStr">
        <is>
          <t>Referrer information complete, or missing details requested.</t>
        </is>
      </c>
      <c r="C10" s="53" t="inlineStr">
        <is>
          <t>☐</t>
        </is>
      </c>
    </row>
    <row r="11" ht="22" customHeight="1">
      <c r="A11" s="51" t="n">
        <v>8</v>
      </c>
      <c r="B11" s="52" t="inlineStr">
        <is>
          <t>Record updated and checked for accuracy.</t>
        </is>
      </c>
      <c r="C11" s="53" t="inlineStr">
        <is>
          <t>☐</t>
        </is>
      </c>
    </row>
  </sheetData>
  <pageMargins left="0.7" right="0.7" top="0.75" bottom="0.75" header="0.3" footer="0.3"/>
</worksheet>
</file>

<file path=xl/worksheets/sheet6.xml><?xml version="1.0" encoding="utf-8"?>
<worksheet xmlns="http://schemas.openxmlformats.org/spreadsheetml/2006/main">
  <sheetPr>
    <tabColor rgb="00A5A5A5"/>
    <outlinePr summaryBelow="1" summaryRight="1"/>
    <pageSetUpPr/>
  </sheetPr>
  <dimension ref="A1:S29"/>
  <sheetViews>
    <sheetView showGridLines="0" tabSelected="0" zoomScale="85" zoomScaleNormal="85" workbookViewId="0">
      <selection activeCell="A11" sqref="A11"/>
    </sheetView>
  </sheetViews>
  <sheetFormatPr baseColWidth="8" defaultRowHeight="14.4"/>
  <cols>
    <col width="22" customWidth="1" min="1" max="1"/>
    <col width="9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ht="22" customHeight="1">
      <c r="A1" s="54" t="inlineStr">
        <is>
          <t>SIMULATED DATA</t>
        </is>
      </c>
      <c r="C1" s="37" t="n"/>
      <c r="D1" s="37" t="n"/>
      <c r="E1" s="37" t="n"/>
      <c r="F1" s="37" t="n"/>
      <c r="G1" s="37" t="n"/>
      <c r="H1" s="37" t="n"/>
      <c r="I1" s="37" t="n"/>
      <c r="J1" s="37" t="n"/>
      <c r="K1" s="37" t="n"/>
      <c r="L1" s="37" t="n"/>
      <c r="M1" s="37" t="n"/>
      <c r="N1" s="37" t="n"/>
      <c r="O1" s="37" t="n"/>
      <c r="P1" s="37" t="n"/>
      <c r="Q1" s="37" t="n"/>
      <c r="R1" s="37" t="n"/>
      <c r="S1" s="37" t="n"/>
    </row>
    <row r="2" ht="32.6" customHeight="1">
      <c r="A2" s="55" t="inlineStr">
        <is>
          <t>All rows are invented for a portfolio project. They do not describe real people, referrals, or organisations, and no findings from them should be treated as real.</t>
        </is>
      </c>
      <c r="C2" s="37" t="n"/>
      <c r="D2" s="37" t="n"/>
      <c r="E2" s="37" t="n"/>
      <c r="F2" s="37" t="n"/>
      <c r="G2" s="37" t="n"/>
      <c r="H2" s="37" t="n"/>
      <c r="I2" s="37" t="n"/>
      <c r="J2" s="37" t="n"/>
      <c r="K2" s="37" t="n"/>
      <c r="L2" s="37" t="n"/>
      <c r="M2" s="37" t="n"/>
      <c r="N2" s="37" t="n"/>
      <c r="O2" s="37" t="n"/>
      <c r="P2" s="37" t="n"/>
      <c r="Q2" s="37" t="n"/>
      <c r="R2" s="37" t="n"/>
      <c r="S2" s="37" t="n"/>
    </row>
    <row r="3">
      <c r="A3" s="37" t="n"/>
      <c r="B3" s="37" t="n"/>
      <c r="C3" s="37" t="n"/>
      <c r="D3" s="37" t="n"/>
      <c r="E3" s="37" t="n"/>
      <c r="F3" s="37" t="n"/>
      <c r="G3" s="37" t="n"/>
      <c r="H3" s="37" t="n"/>
      <c r="I3" s="37" t="n"/>
      <c r="J3" s="37" t="n"/>
      <c r="K3" s="37" t="n"/>
      <c r="L3" s="37" t="n"/>
      <c r="M3" s="37" t="n"/>
      <c r="N3" s="37" t="n"/>
      <c r="O3" s="37" t="n"/>
      <c r="P3" s="37" t="n"/>
      <c r="Q3" s="37" t="n"/>
      <c r="R3" s="37" t="n"/>
      <c r="S3" s="37" t="n"/>
    </row>
    <row r="4">
      <c r="A4" s="56" t="inlineStr">
        <is>
          <t>Data as at 31/08/2026. Referrals received 01/06/2026 to 28/08/2026.</t>
        </is>
      </c>
      <c r="B4" s="37" t="n"/>
      <c r="C4" s="37" t="n"/>
      <c r="D4" s="37" t="n"/>
      <c r="E4" s="37" t="n"/>
      <c r="F4" s="37" t="n"/>
      <c r="G4" s="37" t="n"/>
      <c r="H4" s="37" t="n"/>
      <c r="I4" s="37" t="n"/>
      <c r="J4" s="37" t="n"/>
      <c r="K4" s="37" t="n"/>
      <c r="L4" s="37" t="n"/>
      <c r="M4" s="37" t="n"/>
      <c r="N4" s="37" t="n"/>
      <c r="O4" s="37" t="n"/>
      <c r="P4" s="37" t="n"/>
      <c r="Q4" s="37" t="n"/>
      <c r="R4" s="37" t="n"/>
      <c r="S4" s="37" t="n"/>
    </row>
    <row r="5">
      <c r="A5" s="37" t="n"/>
      <c r="B5" s="37" t="n"/>
      <c r="C5" s="37" t="n"/>
      <c r="D5" s="37" t="n"/>
      <c r="E5" s="37" t="n"/>
      <c r="F5" s="37" t="n"/>
      <c r="G5" s="37" t="n"/>
      <c r="H5" s="37" t="n"/>
      <c r="I5" s="37" t="n"/>
      <c r="J5" s="37" t="n"/>
      <c r="K5" s="37" t="n"/>
      <c r="L5" s="37" t="n"/>
      <c r="M5" s="37" t="n"/>
      <c r="N5" s="37" t="n"/>
      <c r="O5" s="37" t="n"/>
      <c r="P5" s="37" t="n"/>
      <c r="Q5" s="37" t="n"/>
      <c r="R5" s="37" t="n"/>
      <c r="S5" s="37" t="n"/>
    </row>
    <row r="6" ht="24" customHeight="1">
      <c r="A6" s="22" t="inlineStr">
        <is>
          <t>Field definitions</t>
        </is>
      </c>
      <c r="B6" s="38" t="n"/>
      <c r="C6" s="37" t="n"/>
      <c r="D6" s="37" t="n"/>
      <c r="E6" s="37" t="n"/>
      <c r="F6" s="37" t="n"/>
      <c r="G6" s="37" t="n"/>
      <c r="H6" s="37" t="n"/>
      <c r="I6" s="37" t="n"/>
      <c r="J6" s="37" t="n"/>
      <c r="K6" s="37" t="n"/>
      <c r="L6" s="37" t="n"/>
      <c r="M6" s="37" t="n"/>
      <c r="N6" s="37" t="n"/>
      <c r="O6" s="37" t="n"/>
      <c r="P6" s="37" t="n"/>
      <c r="Q6" s="37" t="n"/>
      <c r="R6" s="37" t="n"/>
      <c r="S6" s="37" t="n"/>
    </row>
    <row r="7" ht="20" customHeight="1">
      <c r="A7" s="57" t="inlineStr">
        <is>
          <t>Field</t>
        </is>
      </c>
      <c r="B7" s="57" t="inlineStr">
        <is>
          <t>Description</t>
        </is>
      </c>
      <c r="C7" s="37" t="n"/>
      <c r="D7" s="37" t="n"/>
      <c r="E7" s="37" t="n"/>
      <c r="F7" s="37" t="n"/>
      <c r="G7" s="37" t="n"/>
      <c r="H7" s="37" t="n"/>
      <c r="I7" s="37" t="n"/>
      <c r="J7" s="37" t="n"/>
      <c r="K7" s="37" t="n"/>
      <c r="L7" s="37" t="n"/>
      <c r="M7" s="37" t="n"/>
      <c r="N7" s="37" t="n"/>
      <c r="O7" s="37" t="n"/>
      <c r="P7" s="37" t="n"/>
      <c r="Q7" s="37" t="n"/>
      <c r="R7" s="37" t="n"/>
      <c r="S7" s="37" t="n"/>
    </row>
    <row r="8" ht="18.3" customHeight="1">
      <c r="A8" s="58" t="inlineStr">
        <is>
          <t>ReferralID</t>
        </is>
      </c>
      <c r="B8" s="59" t="inlineStr">
        <is>
          <t>Unique code for each referral.</t>
        </is>
      </c>
      <c r="C8" s="37" t="n"/>
      <c r="D8" s="37" t="n"/>
      <c r="E8" s="37" t="n"/>
      <c r="F8" s="37" t="n"/>
      <c r="G8" s="37" t="n"/>
      <c r="H8" s="37" t="n"/>
      <c r="I8" s="37" t="n"/>
      <c r="J8" s="37" t="n"/>
      <c r="K8" s="37" t="n"/>
      <c r="L8" s="37" t="n"/>
      <c r="M8" s="37" t="n"/>
      <c r="N8" s="37" t="n"/>
      <c r="O8" s="37" t="n"/>
      <c r="P8" s="37" t="n"/>
      <c r="Q8" s="37" t="n"/>
      <c r="R8" s="37" t="n"/>
      <c r="S8" s="37" t="n"/>
    </row>
    <row r="9" ht="18.3" customHeight="1">
      <c r="A9" s="58" t="inlineStr">
        <is>
          <t>DateReceived</t>
        </is>
      </c>
      <c r="B9" s="59" t="inlineStr">
        <is>
          <t>Date the referral arrived in the service inbox.</t>
        </is>
      </c>
      <c r="C9" s="37" t="n"/>
      <c r="D9" s="37" t="n"/>
      <c r="E9" s="37" t="n"/>
      <c r="F9" s="37" t="n"/>
      <c r="G9" s="37" t="n"/>
      <c r="H9" s="37" t="n"/>
      <c r="I9" s="37" t="n"/>
      <c r="J9" s="37" t="n"/>
      <c r="K9" s="37" t="n"/>
      <c r="L9" s="37" t="n"/>
      <c r="M9" s="37" t="n"/>
      <c r="N9" s="37" t="n"/>
      <c r="O9" s="37" t="n"/>
      <c r="P9" s="37" t="n"/>
      <c r="Q9" s="37" t="n"/>
      <c r="R9" s="37" t="n"/>
      <c r="S9" s="37" t="n"/>
    </row>
    <row r="10" ht="18.3" customHeight="1">
      <c r="A10" s="58" t="inlineStr">
        <is>
          <t>ClientCode</t>
        </is>
      </c>
      <c r="B10" s="59" t="inlineStr">
        <is>
          <t>Anonymous client code (no names). A client may be referred more than once.</t>
        </is>
      </c>
      <c r="C10" s="37" t="n"/>
      <c r="D10" s="37" t="n"/>
      <c r="E10" s="37" t="n"/>
      <c r="F10" s="37" t="n"/>
      <c r="G10" s="37" t="n"/>
      <c r="H10" s="37" t="n"/>
      <c r="I10" s="37" t="n"/>
      <c r="J10" s="37" t="n"/>
      <c r="K10" s="37" t="n"/>
      <c r="L10" s="37" t="n"/>
      <c r="M10" s="37" t="n"/>
      <c r="N10" s="37" t="n"/>
      <c r="O10" s="37" t="n"/>
      <c r="P10" s="37" t="n"/>
      <c r="Q10" s="37" t="n"/>
      <c r="R10" s="37" t="n"/>
      <c r="S10" s="37" t="n"/>
    </row>
    <row r="11" ht="18.3" customHeight="1">
      <c r="A11" s="58" t="inlineStr">
        <is>
          <t>ReferrerType</t>
        </is>
      </c>
      <c r="B11" s="59" t="inlineStr">
        <is>
          <t>Who sent the referral.</t>
        </is>
      </c>
      <c r="C11" s="37" t="n"/>
      <c r="D11" s="37" t="n"/>
      <c r="E11" s="37" t="n"/>
      <c r="F11" s="37" t="n"/>
      <c r="G11" s="37" t="n"/>
      <c r="H11" s="37" t="n"/>
      <c r="I11" s="37" t="n"/>
      <c r="J11" s="37" t="n"/>
      <c r="K11" s="37" t="n"/>
      <c r="L11" s="37" t="n"/>
      <c r="M11" s="37" t="n"/>
      <c r="N11" s="37" t="n"/>
      <c r="O11" s="37" t="n"/>
      <c r="P11" s="37" t="n"/>
      <c r="Q11" s="37" t="n"/>
      <c r="R11" s="37" t="n"/>
      <c r="S11" s="37" t="n"/>
    </row>
    <row r="12" ht="18.3" customHeight="1">
      <c r="A12" s="58" t="inlineStr">
        <is>
          <t>Ethnicity</t>
        </is>
      </c>
      <c r="B12" s="59" t="inlineStr">
        <is>
          <t>Self-identified ethnic group, where recorded.</t>
        </is>
      </c>
      <c r="C12" s="37" t="n"/>
      <c r="D12" s="37" t="n"/>
      <c r="E12" s="37" t="n"/>
      <c r="F12" s="37" t="n"/>
      <c r="G12" s="37" t="n"/>
      <c r="H12" s="37" t="n"/>
      <c r="I12" s="37" t="n"/>
      <c r="J12" s="37" t="n"/>
      <c r="K12" s="37" t="n"/>
      <c r="L12" s="37" t="n"/>
      <c r="M12" s="37" t="n"/>
      <c r="N12" s="37" t="n"/>
      <c r="O12" s="37" t="n"/>
      <c r="P12" s="37" t="n"/>
      <c r="Q12" s="37" t="n"/>
      <c r="R12" s="37" t="n"/>
      <c r="S12" s="37" t="n"/>
    </row>
    <row r="13" ht="18.3" customHeight="1">
      <c r="A13" s="58" t="inlineStr">
        <is>
          <t>PriorityLevel</t>
        </is>
      </c>
      <c r="B13" s="59" t="inlineStr">
        <is>
          <t>Urgency assigned at triage (Urgent, High, Routine).</t>
        </is>
      </c>
      <c r="C13" s="37" t="n"/>
      <c r="D13" s="37" t="n"/>
      <c r="E13" s="37" t="n"/>
      <c r="F13" s="37" t="n"/>
      <c r="G13" s="37" t="n"/>
      <c r="H13" s="37" t="n"/>
      <c r="I13" s="37" t="n"/>
      <c r="J13" s="37" t="n"/>
      <c r="K13" s="37" t="n"/>
      <c r="L13" s="37" t="n"/>
      <c r="M13" s="37" t="n"/>
      <c r="N13" s="37" t="n"/>
      <c r="O13" s="37" t="n"/>
      <c r="P13" s="37" t="n"/>
      <c r="Q13" s="37" t="n"/>
      <c r="R13" s="37" t="n"/>
      <c r="S13" s="37" t="n"/>
    </row>
    <row r="14" ht="18.3" customHeight="1">
      <c r="A14" s="58" t="inlineStr">
        <is>
          <t>InfoComplete</t>
        </is>
      </c>
      <c r="B14" s="59" t="inlineStr">
        <is>
          <t>Whether the referrer supplied all required information (Yes/No).</t>
        </is>
      </c>
      <c r="C14" s="37" t="n"/>
      <c r="D14" s="37" t="n"/>
      <c r="E14" s="37" t="n"/>
      <c r="F14" s="37" t="n"/>
      <c r="G14" s="37" t="n"/>
      <c r="H14" s="37" t="n"/>
      <c r="I14" s="37" t="n"/>
      <c r="J14" s="37" t="n"/>
      <c r="K14" s="37" t="n"/>
      <c r="L14" s="37" t="n"/>
      <c r="M14" s="37" t="n"/>
      <c r="N14" s="37" t="n"/>
      <c r="O14" s="37" t="n"/>
      <c r="P14" s="37" t="n"/>
      <c r="Q14" s="37" t="n"/>
      <c r="R14" s="37" t="n"/>
      <c r="S14" s="37" t="n"/>
    </row>
    <row r="15" ht="18.3" customHeight="1">
      <c r="A15" s="58" t="inlineStr">
        <is>
          <t>DateFirstContact</t>
        </is>
      </c>
      <c r="B15" s="59" t="inlineStr">
        <is>
          <t>Date the service first contacted (or tried to contact) the client.</t>
        </is>
      </c>
      <c r="C15" s="37" t="n"/>
      <c r="D15" s="37" t="n"/>
      <c r="E15" s="37" t="n"/>
      <c r="F15" s="37" t="n"/>
      <c r="G15" s="37" t="n"/>
      <c r="H15" s="37" t="n"/>
      <c r="I15" s="37" t="n"/>
      <c r="J15" s="37" t="n"/>
      <c r="K15" s="37" t="n"/>
      <c r="L15" s="37" t="n"/>
      <c r="M15" s="37" t="n"/>
      <c r="N15" s="37" t="n"/>
      <c r="O15" s="37" t="n"/>
      <c r="P15" s="37" t="n"/>
      <c r="Q15" s="37" t="n"/>
      <c r="R15" s="37" t="n"/>
      <c r="S15" s="37" t="n"/>
    </row>
    <row r="16" ht="18.3" customHeight="1">
      <c r="A16" s="58" t="inlineStr">
        <is>
          <t>ContactMethod</t>
        </is>
      </c>
      <c r="B16" s="59" t="inlineStr">
        <is>
          <t>Phone, Text, Email or In person.</t>
        </is>
      </c>
      <c r="C16" s="37" t="n"/>
      <c r="D16" s="37" t="n"/>
      <c r="E16" s="37" t="n"/>
      <c r="F16" s="37" t="n"/>
      <c r="G16" s="37" t="n"/>
      <c r="H16" s="37" t="n"/>
      <c r="I16" s="37" t="n"/>
      <c r="J16" s="37" t="n"/>
      <c r="K16" s="37" t="n"/>
      <c r="L16" s="37" t="n"/>
      <c r="M16" s="37" t="n"/>
      <c r="N16" s="37" t="n"/>
      <c r="O16" s="37" t="n"/>
      <c r="P16" s="37" t="n"/>
      <c r="Q16" s="37" t="n"/>
      <c r="R16" s="37" t="n"/>
      <c r="S16" s="37" t="n"/>
    </row>
    <row r="17" ht="18.3" customHeight="1">
      <c r="A17" s="58" t="inlineStr">
        <is>
          <t>Status</t>
        </is>
      </c>
      <c r="B17" s="59" t="inlineStr">
        <is>
          <t>New, Contacted, Awaiting info, Consent pending, Enrolled, Unable to contact, Declined.</t>
        </is>
      </c>
      <c r="C17" s="37" t="n"/>
      <c r="D17" s="37" t="n"/>
      <c r="E17" s="37" t="n"/>
      <c r="F17" s="37" t="n"/>
      <c r="G17" s="37" t="n"/>
      <c r="H17" s="37" t="n"/>
      <c r="I17" s="37" t="n"/>
      <c r="J17" s="37" t="n"/>
      <c r="K17" s="37" t="n"/>
      <c r="L17" s="37" t="n"/>
      <c r="M17" s="37" t="n"/>
      <c r="N17" s="37" t="n"/>
      <c r="O17" s="37" t="n"/>
      <c r="P17" s="37" t="n"/>
      <c r="Q17" s="37" t="n"/>
      <c r="R17" s="37" t="n"/>
      <c r="S17" s="37" t="n"/>
    </row>
    <row r="18" ht="18.3" customHeight="1">
      <c r="A18" s="58" t="inlineStr">
        <is>
          <t>ConsentObtained</t>
        </is>
      </c>
      <c r="B18" s="59" t="inlineStr">
        <is>
          <t>Yes, No or Pending.</t>
        </is>
      </c>
      <c r="C18" s="37" t="n"/>
      <c r="D18" s="37" t="n"/>
      <c r="E18" s="37" t="n"/>
      <c r="F18" s="37" t="n"/>
      <c r="G18" s="37" t="n"/>
      <c r="H18" s="37" t="n"/>
      <c r="I18" s="37" t="n"/>
      <c r="J18" s="37" t="n"/>
      <c r="K18" s="37" t="n"/>
      <c r="L18" s="37" t="n"/>
      <c r="M18" s="37" t="n"/>
      <c r="N18" s="37" t="n"/>
      <c r="O18" s="37" t="n"/>
      <c r="P18" s="37" t="n"/>
      <c r="Q18" s="37" t="n"/>
      <c r="R18" s="37" t="n"/>
      <c r="S18" s="37" t="n"/>
    </row>
    <row r="19" ht="18.3" customHeight="1">
      <c r="A19" s="58" t="inlineStr">
        <is>
          <t>AppointmentDate</t>
        </is>
      </c>
      <c r="B19" s="59" t="inlineStr">
        <is>
          <t>First appointment date, if booked.</t>
        </is>
      </c>
      <c r="C19" s="37" t="n"/>
      <c r="D19" s="37" t="n"/>
      <c r="E19" s="37" t="n"/>
      <c r="F19" s="37" t="n"/>
      <c r="G19" s="37" t="n"/>
      <c r="H19" s="37" t="n"/>
      <c r="I19" s="37" t="n"/>
      <c r="J19" s="37" t="n"/>
      <c r="K19" s="37" t="n"/>
      <c r="L19" s="37" t="n"/>
      <c r="M19" s="37" t="n"/>
      <c r="N19" s="37" t="n"/>
      <c r="O19" s="37" t="n"/>
      <c r="P19" s="37" t="n"/>
      <c r="Q19" s="37" t="n"/>
      <c r="R19" s="37" t="n"/>
      <c r="S19" s="37" t="n"/>
    </row>
    <row r="20" ht="18.3" customHeight="1">
      <c r="A20" s="58" t="inlineStr">
        <is>
          <t>Escalated</t>
        </is>
      </c>
      <c r="B20" s="59" t="inlineStr">
        <is>
          <t>Whether the referral was escalated to a clinician (Yes/No).</t>
        </is>
      </c>
      <c r="C20" s="37" t="n"/>
      <c r="D20" s="37" t="n"/>
      <c r="E20" s="37" t="n"/>
      <c r="F20" s="37" t="n"/>
      <c r="G20" s="37" t="n"/>
      <c r="H20" s="37" t="n"/>
      <c r="I20" s="37" t="n"/>
      <c r="J20" s="37" t="n"/>
      <c r="K20" s="37" t="n"/>
      <c r="L20" s="37" t="n"/>
      <c r="M20" s="37" t="n"/>
      <c r="N20" s="37" t="n"/>
      <c r="O20" s="37" t="n"/>
      <c r="P20" s="37" t="n"/>
      <c r="Q20" s="37" t="n"/>
      <c r="R20" s="37" t="n"/>
      <c r="S20" s="37" t="n"/>
    </row>
    <row r="21">
      <c r="A21" s="37" t="n"/>
      <c r="B21" s="37" t="n"/>
      <c r="C21" s="37" t="n"/>
      <c r="D21" s="37" t="n"/>
      <c r="E21" s="37" t="n"/>
      <c r="F21" s="37" t="n"/>
      <c r="G21" s="37" t="n"/>
      <c r="H21" s="37" t="n"/>
      <c r="I21" s="37" t="n"/>
      <c r="J21" s="37" t="n"/>
      <c r="K21" s="37" t="n"/>
      <c r="L21" s="37" t="n"/>
      <c r="M21" s="37" t="n"/>
      <c r="N21" s="37" t="n"/>
      <c r="O21" s="37" t="n"/>
      <c r="P21" s="37" t="n"/>
      <c r="Q21" s="37" t="n"/>
      <c r="R21" s="37" t="n"/>
      <c r="S21" s="37" t="n"/>
    </row>
    <row r="22" ht="24" customHeight="1">
      <c r="A22" s="22" t="inlineStr">
        <is>
          <t>About this workbook</t>
        </is>
      </c>
      <c r="B22" s="38" t="n"/>
      <c r="C22" s="37" t="n"/>
      <c r="D22" s="37" t="n"/>
      <c r="E22" s="37" t="n"/>
      <c r="F22" s="37" t="n"/>
      <c r="G22" s="37" t="n"/>
      <c r="H22" s="37" t="n"/>
      <c r="I22" s="37" t="n"/>
      <c r="J22" s="37" t="n"/>
      <c r="K22" s="37" t="n"/>
      <c r="L22" s="37" t="n"/>
      <c r="M22" s="37" t="n"/>
      <c r="N22" s="37" t="n"/>
      <c r="O22" s="37" t="n"/>
      <c r="P22" s="37" t="n"/>
      <c r="Q22" s="37" t="n"/>
      <c r="R22" s="37" t="n"/>
      <c r="S22" s="37" t="n"/>
    </row>
    <row r="23" ht="32.6" customHeight="1">
      <c r="A23" s="60" t="inlineStr">
        <is>
          <t>Purpose</t>
        </is>
      </c>
      <c r="B23" s="59" t="inlineStr">
        <is>
          <t>Excel workbook that logs service referrals, flags overdue first contact and data problems, and summarises performance for a service manager. Portfolio project.</t>
        </is>
      </c>
      <c r="C23" s="37" t="n"/>
      <c r="D23" s="37" t="n"/>
      <c r="E23" s="37" t="n"/>
      <c r="F23" s="37" t="n"/>
      <c r="G23" s="37" t="n"/>
      <c r="H23" s="37" t="n"/>
      <c r="I23" s="37" t="n"/>
      <c r="J23" s="37" t="n"/>
      <c r="K23" s="37" t="n"/>
      <c r="L23" s="37" t="n"/>
      <c r="M23" s="37" t="n"/>
      <c r="N23" s="37" t="n"/>
      <c r="O23" s="37" t="n"/>
      <c r="P23" s="37" t="n"/>
      <c r="Q23" s="37" t="n"/>
      <c r="R23" s="37" t="n"/>
      <c r="S23" s="37" t="n"/>
    </row>
    <row r="24" ht="32.6" customHeight="1">
      <c r="A24" s="60" t="inlineStr">
        <is>
          <t>Data</t>
        </is>
      </c>
      <c r="B24" s="59" t="inlineStr">
        <is>
          <t>Simulated: all 120 referrals are invented and do not describe real people, referrals or organisations. Referrals received 01/06/2026 to 28/08/2026; data as at 31/08/2026.</t>
        </is>
      </c>
      <c r="C24" s="37" t="n"/>
      <c r="D24" s="37" t="n"/>
      <c r="E24" s="37" t="n"/>
      <c r="F24" s="37" t="n"/>
      <c r="G24" s="37" t="n"/>
      <c r="H24" s="37" t="n"/>
      <c r="I24" s="37" t="n"/>
      <c r="J24" s="37" t="n"/>
      <c r="K24" s="37" t="n"/>
      <c r="L24" s="37" t="n"/>
      <c r="M24" s="37" t="n"/>
      <c r="N24" s="37" t="n"/>
      <c r="O24" s="37" t="n"/>
      <c r="P24" s="37" t="n"/>
      <c r="Q24" s="37" t="n"/>
      <c r="R24" s="37" t="n"/>
      <c r="S24" s="37" t="n"/>
    </row>
    <row r="25" ht="61.2" customHeight="1">
      <c r="A25" s="60" t="inlineStr">
        <is>
          <t>Data-quality checks</t>
        </is>
      </c>
      <c r="B25" s="59" t="inlineStr">
        <is>
          <t>QualityFlag looks for: missing priority, missing referrer type, first contact dated before the referral was received, enrolled without consent recorded as Yes, possible duplicate client (same client code on more than one referral), and ethnicity not recorded. Dropdown lists limit entries for PriorityLevel, Status and ConsentObtained.</t>
        </is>
      </c>
      <c r="C25" s="37" t="n"/>
      <c r="D25" s="37" t="n"/>
      <c r="E25" s="37" t="n"/>
      <c r="F25" s="37" t="n"/>
      <c r="G25" s="37" t="n"/>
      <c r="H25" s="37" t="n"/>
      <c r="I25" s="37" t="n"/>
      <c r="J25" s="37" t="n"/>
      <c r="K25" s="37" t="n"/>
      <c r="L25" s="37" t="n"/>
      <c r="M25" s="37" t="n"/>
      <c r="N25" s="37" t="n"/>
      <c r="O25" s="37" t="n"/>
      <c r="P25" s="37" t="n"/>
      <c r="Q25" s="37" t="n"/>
      <c r="R25" s="37" t="n"/>
      <c r="S25" s="37" t="n"/>
    </row>
    <row r="26" ht="46.9" customHeight="1">
      <c r="A26" s="60" t="inlineStr">
        <is>
          <t>Assumptions</t>
        </is>
      </c>
      <c r="B26" s="59" t="inlineStr">
        <is>
          <t>Target days to first contact (Urgent 1, High 3, Routine 7) are my own assumptions, not from a real service. The percentage targets on Settings (80% contacted within target, 95% records passing checks) are also assumed. Days are calendar days, not working days.</t>
        </is>
      </c>
      <c r="C26" s="37" t="n"/>
      <c r="D26" s="37" t="n"/>
      <c r="E26" s="37" t="n"/>
      <c r="F26" s="37" t="n"/>
      <c r="G26" s="37" t="n"/>
      <c r="H26" s="37" t="n"/>
      <c r="I26" s="37" t="n"/>
      <c r="J26" s="37" t="n"/>
      <c r="K26" s="37" t="n"/>
      <c r="L26" s="37" t="n"/>
      <c r="M26" s="37" t="n"/>
      <c r="N26" s="37" t="n"/>
      <c r="O26" s="37" t="n"/>
      <c r="P26" s="37" t="n"/>
      <c r="Q26" s="37" t="n"/>
      <c r="R26" s="37" t="n"/>
      <c r="S26" s="37" t="n"/>
    </row>
    <row r="27" ht="46.9" customHeight="1">
      <c r="A27" s="60" t="inlineStr">
        <is>
          <t>Limitations</t>
        </is>
      </c>
      <c r="B27" s="59" t="inlineStr">
        <is>
          <t>Results show how the workbook works, not real performance. Numbers per ethnic group are small, so the equity view is for monitoring only and no conclusions should be drawn. With real data, findings would be reviewed with the team.</t>
        </is>
      </c>
      <c r="C27" s="37" t="n"/>
      <c r="D27" s="37" t="n"/>
      <c r="E27" s="37" t="n"/>
      <c r="F27" s="37" t="n"/>
      <c r="G27" s="37" t="n"/>
      <c r="H27" s="37" t="n"/>
      <c r="I27" s="37" t="n"/>
      <c r="J27" s="37" t="n"/>
      <c r="K27" s="37" t="n"/>
      <c r="L27" s="37" t="n"/>
      <c r="M27" s="37" t="n"/>
      <c r="N27" s="37" t="n"/>
      <c r="O27" s="37" t="n"/>
      <c r="P27" s="37" t="n"/>
      <c r="Q27" s="37" t="n"/>
      <c r="R27" s="37" t="n"/>
      <c r="S27" s="37" t="n"/>
    </row>
    <row r="28" ht="46.9" customHeight="1">
      <c r="A28" s="60" t="inlineStr">
        <is>
          <t>Privacy</t>
        </is>
      </c>
      <c r="B28" s="59" t="inlineStr">
        <is>
          <t>Uses anonymous client codes: no names or contact details. With real data, information would need to be stored and shared in line with the service's privacy policies and the Health Information Privacy Code 2020, with access limited to those who need it.</t>
        </is>
      </c>
    </row>
    <row r="29" ht="61.2" customHeight="1">
      <c r="A29" s="60" t="inlineStr">
        <is>
          <t>How to update</t>
        </is>
      </c>
      <c r="B29" s="59" t="inlineStr">
        <is>
          <t>Add new referrals in the next empty row of the Referrals table; the calculated columns fill in automatically. Change the as-at date on Settings. Check the QualityFlag column and the Checks sheet for flagged records. The Summary updates automatically, except the month table, which needs a new month row added by hand.</t>
        </is>
      </c>
    </row>
    <row r="30"/>
    <row r="31"/>
    <row r="32"/>
    <row r="33"/>
    <row r="34"/>
    <row r="35"/>
    <row r="36"/>
    <row r="37"/>
    <row r="38"/>
    <row r="39"/>
  </sheetData>
  <mergeCells count="2">
    <mergeCell ref="A2:B2"/>
    <mergeCell ref="A1:B1"/>
  </mergeCells>
  <pageMargins left="0.75" right="0.75" top="1" bottom="1" header="0.5" footer="0.5"/>
  <pageSetup orientation="landscape" paperSize="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2026-09-20T22:33:46Z</dcterms:created>
  <dcterms:modified xmlns:dcterms="http://purl.org/dc/terms/" xmlns:xsi="http://www.w3.org/2001/XMLSchema-instance" xsi:type="dcterms:W3CDTF">2026-10-09T00:20:45Z</dcterms:modified>
  <cp:lastModifiedBy>Kaspian Crompton</cp:lastModifiedBy>
  <cp:lastPrinted>2026-09-21T02:39:53Z</cp:lastPrinted>
</cp:coreProperties>
</file>